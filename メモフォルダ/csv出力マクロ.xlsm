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D6050F80-C37C-4ABE-8CE6-79E2A4EA6532}"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データベース" sheetId="2" r:id="rId3"/>
  </sheets>
  <functionGroups builtInGroupCount="19"/>
  <definedNames>
    <definedName name="ポキャラポーズ差分リスト">データベース!$A$40:$B$40</definedName>
    <definedName name="めぐる">データベース!$A$41:$A$42</definedName>
    <definedName name="感情・めぐる">データベース!$A$56:$A$57</definedName>
    <definedName name="感情・樹里">データベース!$C$56:$C$62</definedName>
    <definedName name="感情・恋鐘">データベース!$B$56:$B$58</definedName>
    <definedName name="樹里">データベース!$C$41:$C$44</definedName>
    <definedName name="服装・めぐる">データベース!$A$48:$A$50</definedName>
    <definedName name="服装・樹里">データベース!$C$48:$C$52</definedName>
    <definedName name="服装・恋鐘">データベース!$B$48:$B$52</definedName>
    <definedName name="恋鐘">データベース!$B$41:$B$42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V3" i="1" l="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R129" i="1"/>
  <c r="AR3" i="1"/>
  <c r="AR4" i="1"/>
  <c r="AR5" i="1"/>
  <c r="AR6" i="1"/>
  <c r="AR7" i="1"/>
  <c r="AR8" i="1"/>
  <c r="AR9" i="1"/>
  <c r="AR10" i="1"/>
  <c r="AR11" i="1"/>
  <c r="AR12" i="1"/>
  <c r="AR13" i="1"/>
  <c r="AR14" i="1"/>
  <c r="AR15" i="1"/>
  <c r="AR16" i="1"/>
  <c r="AR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2" i="1"/>
  <c r="AF3" i="1" a="1"/>
  <c r="AF3" i="1" s="1"/>
  <c r="AF4" i="1" a="1"/>
  <c r="AF4" i="1" s="1"/>
  <c r="AF5" i="1" a="1"/>
  <c r="AF5" i="1" s="1"/>
  <c r="AF6" i="1" a="1"/>
  <c r="AF6" i="1" s="1"/>
  <c r="AF7" i="1" a="1"/>
  <c r="AF7" i="1" s="1"/>
  <c r="AF8" i="1" a="1"/>
  <c r="AF8" i="1" s="1"/>
  <c r="AF9" i="1" a="1"/>
  <c r="AF9" i="1" s="1"/>
  <c r="AF10" i="1" a="1"/>
  <c r="AF10" i="1" s="1"/>
  <c r="AF11" i="1" a="1"/>
  <c r="AF11" i="1" s="1"/>
  <c r="AF12" i="1" a="1"/>
  <c r="AF12" i="1" s="1"/>
  <c r="AF13" i="1" a="1"/>
  <c r="AF13" i="1" s="1"/>
  <c r="AF14" i="1" a="1"/>
  <c r="AF14" i="1" s="1"/>
  <c r="AF15" i="1" a="1"/>
  <c r="AF15" i="1" s="1"/>
  <c r="AF16" i="1" a="1"/>
  <c r="AF16" i="1" s="1"/>
  <c r="AF17" i="1" a="1"/>
  <c r="AF17" i="1" s="1"/>
  <c r="AF18" i="1" a="1"/>
  <c r="AF18" i="1" s="1"/>
  <c r="AF19" i="1" a="1"/>
  <c r="AF19" i="1" s="1"/>
  <c r="AF20" i="1" a="1"/>
  <c r="AF20" i="1" s="1"/>
  <c r="AF21" i="1" a="1"/>
  <c r="AF21" i="1" s="1"/>
  <c r="AF22" i="1" a="1"/>
  <c r="AF22" i="1" s="1"/>
  <c r="AF23" i="1" a="1"/>
  <c r="AF23" i="1" s="1"/>
  <c r="AF24" i="1" a="1"/>
  <c r="AF24" i="1" s="1"/>
  <c r="AF25" i="1" a="1"/>
  <c r="AF25" i="1" s="1"/>
  <c r="AF26" i="1" a="1"/>
  <c r="AF26" i="1" s="1"/>
  <c r="AF27" i="1" a="1"/>
  <c r="AF27" i="1" s="1"/>
  <c r="AF28" i="1" a="1"/>
  <c r="AF28" i="1" s="1"/>
  <c r="AF29" i="1" a="1"/>
  <c r="AF29" i="1" s="1"/>
  <c r="AF30" i="1" a="1"/>
  <c r="AF30" i="1" s="1"/>
  <c r="AF31" i="1" a="1"/>
  <c r="AF31" i="1" s="1"/>
  <c r="AF32" i="1" a="1"/>
  <c r="AF32" i="1" s="1"/>
  <c r="AF33" i="1" a="1"/>
  <c r="AF33" i="1" s="1"/>
  <c r="AF34" i="1" a="1"/>
  <c r="AF34" i="1" s="1"/>
  <c r="AF35" i="1" a="1"/>
  <c r="AF35" i="1" s="1"/>
  <c r="AF36" i="1" a="1"/>
  <c r="AF36" i="1" s="1"/>
  <c r="AF37" i="1" a="1"/>
  <c r="AF37" i="1" s="1"/>
  <c r="AF38" i="1" a="1"/>
  <c r="AF38" i="1" s="1"/>
  <c r="AF39" i="1" a="1"/>
  <c r="AF39" i="1" s="1"/>
  <c r="AF40" i="1" a="1"/>
  <c r="AF40" i="1" s="1"/>
  <c r="AF41" i="1" a="1"/>
  <c r="AF41" i="1" s="1"/>
  <c r="AF42" i="1" a="1"/>
  <c r="AF42" i="1" s="1"/>
  <c r="AF43" i="1" a="1"/>
  <c r="AF43" i="1" s="1"/>
  <c r="AF44" i="1" a="1"/>
  <c r="AF44" i="1" s="1"/>
  <c r="AF45" i="1" a="1"/>
  <c r="AF45" i="1" s="1"/>
  <c r="AF46" i="1" a="1"/>
  <c r="AF46" i="1" s="1"/>
  <c r="AF47" i="1" a="1"/>
  <c r="AF47" i="1" s="1"/>
  <c r="AF48" i="1" a="1"/>
  <c r="AF48" i="1" s="1"/>
  <c r="AF49" i="1" a="1"/>
  <c r="AF49" i="1" s="1"/>
  <c r="AF50" i="1" a="1"/>
  <c r="AF50" i="1" s="1"/>
  <c r="AF51" i="1" a="1"/>
  <c r="AF51" i="1" s="1"/>
  <c r="AF52" i="1" a="1"/>
  <c r="AF52" i="1" s="1"/>
  <c r="AF53" i="1" a="1"/>
  <c r="AF53" i="1" s="1"/>
  <c r="AF54" i="1" a="1"/>
  <c r="AF54" i="1" s="1"/>
  <c r="AF55" i="1" a="1"/>
  <c r="AF55" i="1" s="1"/>
  <c r="AF56" i="1" a="1"/>
  <c r="AF56" i="1" s="1"/>
  <c r="AF57" i="1" a="1"/>
  <c r="AF57" i="1" s="1"/>
  <c r="AF58" i="1" a="1"/>
  <c r="AF58" i="1" s="1"/>
  <c r="AF59" i="1" a="1"/>
  <c r="AF59" i="1" s="1"/>
  <c r="AF60" i="1" a="1"/>
  <c r="AF60" i="1" s="1"/>
  <c r="AF61" i="1" a="1"/>
  <c r="AF61" i="1" s="1"/>
  <c r="AF62" i="1" a="1"/>
  <c r="AF62" i="1" s="1"/>
  <c r="AF63" i="1" a="1"/>
  <c r="AF63" i="1" s="1"/>
  <c r="AF64" i="1" a="1"/>
  <c r="AF64" i="1" s="1"/>
  <c r="AF65" i="1" a="1"/>
  <c r="AF65" i="1" s="1"/>
  <c r="AF66" i="1" a="1"/>
  <c r="AF66" i="1" s="1"/>
  <c r="AF67" i="1" a="1"/>
  <c r="AF67" i="1" s="1"/>
  <c r="AF68" i="1" a="1"/>
  <c r="AF68" i="1" s="1"/>
  <c r="AF69" i="1" a="1"/>
  <c r="AF69" i="1" s="1"/>
  <c r="AF70" i="1" a="1"/>
  <c r="AF70" i="1" s="1"/>
  <c r="AF71" i="1" a="1"/>
  <c r="AF71" i="1" s="1"/>
  <c r="AF72" i="1" a="1"/>
  <c r="AF72" i="1" s="1"/>
  <c r="AF73" i="1" a="1"/>
  <c r="AF73" i="1" s="1"/>
  <c r="AF74" i="1" a="1"/>
  <c r="AF74" i="1" s="1"/>
  <c r="AF75" i="1" a="1"/>
  <c r="AF75" i="1" s="1"/>
  <c r="AF76" i="1" a="1"/>
  <c r="AF76" i="1" s="1"/>
  <c r="AF77" i="1" a="1"/>
  <c r="AF77" i="1" s="1"/>
  <c r="AF78" i="1" a="1"/>
  <c r="AF78" i="1" s="1"/>
  <c r="AF79" i="1" a="1"/>
  <c r="AF79" i="1" s="1"/>
  <c r="AF80" i="1" a="1"/>
  <c r="AF80" i="1" s="1"/>
  <c r="AF81" i="1" a="1"/>
  <c r="AF81" i="1" s="1"/>
  <c r="AF82" i="1" a="1"/>
  <c r="AF82" i="1" s="1"/>
  <c r="AF83" i="1" a="1"/>
  <c r="AF83" i="1" s="1"/>
  <c r="AF84" i="1" a="1"/>
  <c r="AF84" i="1" s="1"/>
  <c r="AF85" i="1" a="1"/>
  <c r="AF85" i="1" s="1"/>
  <c r="AF86" i="1" a="1"/>
  <c r="AF86" i="1" s="1"/>
  <c r="AF87" i="1" a="1"/>
  <c r="AF87" i="1" s="1"/>
  <c r="AF88" i="1" a="1"/>
  <c r="AF88" i="1" s="1"/>
  <c r="AF89" i="1" a="1"/>
  <c r="AF89" i="1" s="1"/>
  <c r="AF90" i="1" a="1"/>
  <c r="AF90" i="1" s="1"/>
  <c r="AF91" i="1" a="1"/>
  <c r="AF91" i="1" s="1"/>
  <c r="AF92" i="1" a="1"/>
  <c r="AF92" i="1" s="1"/>
  <c r="AF93" i="1" a="1"/>
  <c r="AF93" i="1" s="1"/>
  <c r="AF94" i="1" a="1"/>
  <c r="AF94" i="1" s="1"/>
  <c r="AF95" i="1" a="1"/>
  <c r="AF95" i="1" s="1"/>
  <c r="AF96" i="1" a="1"/>
  <c r="AF96" i="1" s="1"/>
  <c r="AF97" i="1" a="1"/>
  <c r="AF97" i="1" s="1"/>
  <c r="AF98" i="1" a="1"/>
  <c r="AF98" i="1" s="1"/>
  <c r="AF99" i="1" a="1"/>
  <c r="AF99" i="1" s="1"/>
  <c r="AF100" i="1" a="1"/>
  <c r="AF100" i="1" s="1"/>
  <c r="AF101" i="1" a="1"/>
  <c r="AF101" i="1" s="1"/>
  <c r="AF102" i="1" a="1"/>
  <c r="AF102" i="1" s="1"/>
  <c r="AF103" i="1" a="1"/>
  <c r="AF103" i="1" s="1"/>
  <c r="AF104" i="1" a="1"/>
  <c r="AF104" i="1" s="1"/>
  <c r="AF105" i="1" a="1"/>
  <c r="AF105" i="1" s="1"/>
  <c r="AF106" i="1" a="1"/>
  <c r="AF106" i="1" s="1"/>
  <c r="AF107" i="1" a="1"/>
  <c r="AF107" i="1" s="1"/>
  <c r="AF108" i="1" a="1"/>
  <c r="AF108" i="1" s="1"/>
  <c r="AF109" i="1" a="1"/>
  <c r="AF109" i="1" s="1"/>
  <c r="AF110" i="1" a="1"/>
  <c r="AF110" i="1" s="1"/>
  <c r="AF111" i="1" a="1"/>
  <c r="AF111" i="1" s="1"/>
  <c r="AF112" i="1" a="1"/>
  <c r="AF112" i="1" s="1"/>
  <c r="AF113" i="1" a="1"/>
  <c r="AF113" i="1" s="1"/>
  <c r="AF114" i="1" a="1"/>
  <c r="AF114" i="1" s="1"/>
  <c r="AF115" i="1" a="1"/>
  <c r="AF115" i="1" s="1"/>
  <c r="AF116" i="1" a="1"/>
  <c r="AF116" i="1" s="1"/>
  <c r="AF117" i="1" a="1"/>
  <c r="AF117" i="1" s="1"/>
  <c r="AF118" i="1" a="1"/>
  <c r="AF118" i="1" s="1"/>
  <c r="AF119" i="1" a="1"/>
  <c r="AF119" i="1" s="1"/>
  <c r="AF120" i="1" a="1"/>
  <c r="AF120" i="1" s="1"/>
  <c r="AF121" i="1" a="1"/>
  <c r="AF121" i="1" s="1"/>
  <c r="AF122" i="1" a="1"/>
  <c r="AF122" i="1" s="1"/>
  <c r="AF123" i="1" a="1"/>
  <c r="AF123" i="1" s="1"/>
  <c r="AF124" i="1" a="1"/>
  <c r="AF124" i="1" s="1"/>
  <c r="AF125" i="1" a="1"/>
  <c r="AF125" i="1" s="1"/>
  <c r="AF126" i="1" a="1"/>
  <c r="AF126" i="1" s="1"/>
  <c r="AF127" i="1" a="1"/>
  <c r="AF127" i="1" s="1"/>
  <c r="AF128" i="1" a="1"/>
  <c r="AF128" i="1" s="1"/>
  <c r="AF129" i="1" a="1"/>
  <c r="AF129" i="1" s="1"/>
  <c r="AF2" i="1" a="1"/>
  <c r="AF2"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N32" i="1" a="1"/>
  <c r="N32" i="1" s="1"/>
  <c r="N33" i="1" a="1"/>
  <c r="N33" i="1" s="1"/>
  <c r="N34" i="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8" i="1" a="1"/>
  <c r="N48" i="1" s="1"/>
  <c r="N49" i="1" a="1"/>
  <c r="N49" i="1" s="1"/>
  <c r="N50" i="1" a="1"/>
  <c r="N50" i="1" s="1"/>
  <c r="N51" i="1" a="1"/>
  <c r="N51" i="1" s="1"/>
  <c r="N52" i="1" a="1"/>
  <c r="N52" i="1" s="1"/>
  <c r="N53" i="1" a="1"/>
  <c r="N53" i="1" s="1"/>
  <c r="N54" i="1" a="1"/>
  <c r="N54" i="1" s="1"/>
  <c r="N55" i="1" a="1"/>
  <c r="N55" i="1" s="1"/>
  <c r="N56" i="1" a="1"/>
  <c r="N56" i="1" s="1"/>
  <c r="N57" i="1" a="1"/>
  <c r="N57" i="1" s="1"/>
  <c r="N58" i="1" a="1"/>
  <c r="N58" i="1" s="1"/>
  <c r="N59" i="1" a="1"/>
  <c r="N59" i="1" s="1"/>
  <c r="N60" i="1" a="1"/>
  <c r="N60" i="1" s="1"/>
  <c r="N61" i="1" a="1"/>
  <c r="N61" i="1" s="1"/>
  <c r="N62" i="1" a="1"/>
  <c r="N62" i="1" s="1"/>
  <c r="N63" i="1" a="1"/>
  <c r="N63" i="1" s="1"/>
  <c r="N64" i="1" a="1"/>
  <c r="N64" i="1" s="1"/>
  <c r="N65" i="1" a="1"/>
  <c r="N65" i="1" s="1"/>
  <c r="N66" i="1" a="1"/>
  <c r="N66" i="1" s="1"/>
  <c r="N67" i="1" a="1"/>
  <c r="N67" i="1" s="1"/>
  <c r="N68" i="1" a="1"/>
  <c r="N68" i="1" s="1"/>
  <c r="N69" i="1" a="1"/>
  <c r="N69" i="1" s="1"/>
  <c r="N70" i="1" a="1"/>
  <c r="N70" i="1" s="1"/>
  <c r="N71" i="1" a="1"/>
  <c r="N71" i="1" s="1"/>
  <c r="N72" i="1" a="1"/>
  <c r="N72" i="1" s="1"/>
  <c r="N73" i="1" a="1"/>
  <c r="N73" i="1" s="1"/>
  <c r="N74" i="1" a="1"/>
  <c r="N74" i="1" s="1"/>
  <c r="N75" i="1" a="1"/>
  <c r="N75" i="1" s="1"/>
  <c r="N76" i="1" a="1"/>
  <c r="N76" i="1" s="1"/>
  <c r="N77" i="1" a="1"/>
  <c r="N77" i="1" s="1"/>
  <c r="N78" i="1" a="1"/>
  <c r="N78" i="1" s="1"/>
  <c r="N79" i="1" a="1"/>
  <c r="N79" i="1" s="1"/>
  <c r="N80" i="1" a="1"/>
  <c r="N80" i="1" s="1"/>
  <c r="N81" i="1" a="1"/>
  <c r="N81" i="1" s="1"/>
  <c r="N82" i="1" a="1"/>
  <c r="N82" i="1" s="1"/>
  <c r="N83" i="1" a="1"/>
  <c r="N83" i="1" s="1"/>
  <c r="N84" i="1" a="1"/>
  <c r="N84" i="1" s="1"/>
  <c r="N85" i="1" a="1"/>
  <c r="N85" i="1" s="1"/>
  <c r="N86" i="1" a="1"/>
  <c r="N86" i="1" s="1"/>
  <c r="N87" i="1" a="1"/>
  <c r="N87" i="1" s="1"/>
  <c r="N88" i="1" a="1"/>
  <c r="N88" i="1" s="1"/>
  <c r="N89" i="1" a="1"/>
  <c r="N89" i="1" s="1"/>
  <c r="N90" i="1" a="1"/>
  <c r="N90" i="1" s="1"/>
  <c r="N91" i="1" a="1"/>
  <c r="N91" i="1" s="1"/>
  <c r="N92" i="1" a="1"/>
  <c r="N92" i="1" s="1"/>
  <c r="N93" i="1" a="1"/>
  <c r="N93" i="1" s="1"/>
  <c r="N94" i="1" a="1"/>
  <c r="N94" i="1" s="1"/>
  <c r="N95" i="1" a="1"/>
  <c r="N95" i="1" s="1"/>
  <c r="N96" i="1" a="1"/>
  <c r="N96" i="1" s="1"/>
  <c r="N97" i="1" a="1"/>
  <c r="N97" i="1" s="1"/>
  <c r="N98" i="1" a="1"/>
  <c r="N98" i="1" s="1"/>
  <c r="N99" i="1" a="1"/>
  <c r="N99" i="1" s="1"/>
  <c r="N100" i="1" a="1"/>
  <c r="N100" i="1" s="1"/>
  <c r="N101" i="1" a="1"/>
  <c r="N101" i="1" s="1"/>
  <c r="N102" i="1" a="1"/>
  <c r="N102" i="1" s="1"/>
  <c r="N103" i="1" a="1"/>
  <c r="N103" i="1" s="1"/>
  <c r="N104" i="1" a="1"/>
  <c r="N104" i="1" s="1"/>
  <c r="N105" i="1" a="1"/>
  <c r="N105" i="1" s="1"/>
  <c r="N106" i="1" a="1"/>
  <c r="N106" i="1" s="1"/>
  <c r="N107" i="1" a="1"/>
  <c r="N107" i="1" s="1"/>
  <c r="N108" i="1" a="1"/>
  <c r="N108" i="1" s="1"/>
  <c r="N109" i="1" a="1"/>
  <c r="N109" i="1" s="1"/>
  <c r="N110" i="1" a="1"/>
  <c r="N110" i="1" s="1"/>
  <c r="N111" i="1" a="1"/>
  <c r="N111" i="1" s="1"/>
  <c r="N112" i="1" a="1"/>
  <c r="N112" i="1" s="1"/>
  <c r="N113" i="1" a="1"/>
  <c r="N113" i="1" s="1"/>
  <c r="N114" i="1" a="1"/>
  <c r="N114" i="1" s="1"/>
  <c r="N115" i="1" a="1"/>
  <c r="N115" i="1" s="1"/>
  <c r="N116" i="1" a="1"/>
  <c r="N116" i="1" s="1"/>
  <c r="N117" i="1" a="1"/>
  <c r="N117" i="1" s="1"/>
  <c r="N118" i="1" a="1"/>
  <c r="N118" i="1" s="1"/>
  <c r="N119" i="1" a="1"/>
  <c r="N119" i="1" s="1"/>
  <c r="N120" i="1" a="1"/>
  <c r="N120" i="1" s="1"/>
  <c r="N121" i="1" a="1"/>
  <c r="N121" i="1" s="1"/>
  <c r="N122" i="1" a="1"/>
  <c r="N122" i="1" s="1"/>
  <c r="N123" i="1" a="1"/>
  <c r="N123" i="1" s="1"/>
  <c r="N124" i="1" a="1"/>
  <c r="N124" i="1" s="1"/>
  <c r="N125" i="1" a="1"/>
  <c r="N125" i="1" s="1"/>
  <c r="N126" i="1" a="1"/>
  <c r="N126" i="1" s="1"/>
  <c r="N127" i="1" a="1"/>
  <c r="N127" i="1" s="1"/>
  <c r="N128" i="1" a="1"/>
  <c r="N128" i="1" s="1"/>
  <c r="N129" i="1" a="1"/>
  <c r="N129" i="1" s="1"/>
  <c r="N2" i="1" a="1"/>
  <c r="N2" i="1" s="1"/>
  <c r="W2" i="1" a="1"/>
  <c r="W2" i="1" s="1"/>
  <c r="AN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2" i="1"/>
  <c r="W3" i="1" a="1"/>
  <c r="W3" i="1" s="1"/>
  <c r="W4" i="1" a="1"/>
  <c r="W4" i="1" s="1"/>
  <c r="W5" i="1" a="1"/>
  <c r="W5" i="1" s="1"/>
  <c r="W6" i="1" a="1"/>
  <c r="W6" i="1" s="1"/>
  <c r="W7" i="1" a="1"/>
  <c r="W7" i="1" s="1"/>
  <c r="W8" i="1" a="1"/>
  <c r="W8" i="1" s="1"/>
  <c r="W9" i="1" a="1"/>
  <c r="W9" i="1" s="1"/>
  <c r="W10" i="1" a="1"/>
  <c r="W10" i="1" s="1"/>
  <c r="W11" i="1" a="1"/>
  <c r="W11" i="1" s="1"/>
  <c r="W12" i="1" a="1"/>
  <c r="W12" i="1" s="1"/>
  <c r="W13" i="1" a="1"/>
  <c r="W13" i="1" s="1"/>
  <c r="W14" i="1" a="1"/>
  <c r="W14" i="1" s="1"/>
  <c r="W15" i="1" a="1"/>
  <c r="W15" i="1" s="1"/>
  <c r="W16" i="1" a="1"/>
  <c r="W16" i="1" s="1"/>
  <c r="W17" i="1" a="1"/>
  <c r="W17" i="1" s="1"/>
  <c r="W18" i="1" a="1"/>
  <c r="W18" i="1" s="1"/>
  <c r="W19" i="1" a="1"/>
  <c r="W19" i="1" s="1"/>
  <c r="W20" i="1" a="1"/>
  <c r="W20" i="1" s="1"/>
  <c r="W21" i="1" a="1"/>
  <c r="W21" i="1" s="1"/>
  <c r="W22" i="1" a="1"/>
  <c r="W22" i="1" s="1"/>
  <c r="W23" i="1" a="1"/>
  <c r="W23" i="1" s="1"/>
  <c r="W24" i="1" a="1"/>
  <c r="W24" i="1" s="1"/>
  <c r="W25" i="1" a="1"/>
  <c r="W25" i="1" s="1"/>
  <c r="W26" i="1" a="1"/>
  <c r="W26" i="1" s="1"/>
  <c r="W27" i="1" a="1"/>
  <c r="W27" i="1" s="1"/>
  <c r="W28" i="1" a="1"/>
  <c r="W28" i="1" s="1"/>
  <c r="W29" i="1" a="1"/>
  <c r="W29" i="1" s="1"/>
  <c r="W30" i="1" a="1"/>
  <c r="W30" i="1" s="1"/>
  <c r="W31" i="1" a="1"/>
  <c r="W31" i="1" s="1"/>
  <c r="W32" i="1" a="1"/>
  <c r="W32" i="1" s="1"/>
  <c r="W33" i="1" a="1"/>
  <c r="W33" i="1" s="1"/>
  <c r="W34" i="1" a="1"/>
  <c r="W34" i="1" s="1"/>
  <c r="W35" i="1" a="1"/>
  <c r="W35" i="1" s="1"/>
  <c r="W36" i="1" a="1"/>
  <c r="W36" i="1" s="1"/>
  <c r="W37" i="1" a="1"/>
  <c r="W37" i="1" s="1"/>
  <c r="W38" i="1" a="1"/>
  <c r="W38" i="1" s="1"/>
  <c r="W39" i="1" a="1"/>
  <c r="W39" i="1" s="1"/>
  <c r="W40" i="1" a="1"/>
  <c r="W40" i="1" s="1"/>
  <c r="W41" i="1" a="1"/>
  <c r="W41" i="1" s="1"/>
  <c r="W42" i="1" a="1"/>
  <c r="W42" i="1" s="1"/>
  <c r="W43" i="1" a="1"/>
  <c r="W43" i="1" s="1"/>
  <c r="W44" i="1" a="1"/>
  <c r="W44" i="1" s="1"/>
  <c r="W45" i="1" a="1"/>
  <c r="W45" i="1" s="1"/>
  <c r="W46" i="1" a="1"/>
  <c r="W46" i="1" s="1"/>
  <c r="W47" i="1" a="1"/>
  <c r="W47" i="1" s="1"/>
  <c r="W48" i="1" a="1"/>
  <c r="W48" i="1" s="1"/>
  <c r="W49" i="1" a="1"/>
  <c r="W49" i="1" s="1"/>
  <c r="W50" i="1" a="1"/>
  <c r="W50" i="1" s="1"/>
  <c r="W51" i="1" a="1"/>
  <c r="W51" i="1" s="1"/>
  <c r="W52" i="1" a="1"/>
  <c r="W52" i="1" s="1"/>
  <c r="W53" i="1" a="1"/>
  <c r="W53" i="1" s="1"/>
  <c r="W54" i="1" a="1"/>
  <c r="W54" i="1" s="1"/>
  <c r="W55" i="1" a="1"/>
  <c r="W55" i="1" s="1"/>
  <c r="W56" i="1" a="1"/>
  <c r="W56" i="1" s="1"/>
  <c r="W57" i="1" a="1"/>
  <c r="W57" i="1" s="1"/>
  <c r="W58" i="1" a="1"/>
  <c r="W58" i="1" s="1"/>
  <c r="W59" i="1" a="1"/>
  <c r="W59" i="1" s="1"/>
  <c r="W60" i="1" a="1"/>
  <c r="W60" i="1" s="1"/>
  <c r="W61" i="1" a="1"/>
  <c r="W61" i="1" s="1"/>
  <c r="W62" i="1" a="1"/>
  <c r="W62" i="1" s="1"/>
  <c r="W63" i="1" a="1"/>
  <c r="W63" i="1" s="1"/>
  <c r="W64" i="1" a="1"/>
  <c r="W64" i="1" s="1"/>
  <c r="W65" i="1" a="1"/>
  <c r="W65" i="1" s="1"/>
  <c r="W66" i="1" a="1"/>
  <c r="W66" i="1" s="1"/>
  <c r="W67" i="1" a="1"/>
  <c r="W67" i="1" s="1"/>
  <c r="W68" i="1" a="1"/>
  <c r="W68" i="1" s="1"/>
  <c r="W69" i="1" a="1"/>
  <c r="W69" i="1" s="1"/>
  <c r="W70" i="1" a="1"/>
  <c r="W70" i="1" s="1"/>
  <c r="W71" i="1" a="1"/>
  <c r="W71" i="1" s="1"/>
  <c r="W72" i="1" a="1"/>
  <c r="W72" i="1" s="1"/>
  <c r="W73" i="1" a="1"/>
  <c r="W73" i="1" s="1"/>
  <c r="W74" i="1" a="1"/>
  <c r="W74" i="1" s="1"/>
  <c r="W75" i="1" a="1"/>
  <c r="W75" i="1" s="1"/>
  <c r="W76" i="1" a="1"/>
  <c r="W76" i="1" s="1"/>
  <c r="W77" i="1" a="1"/>
  <c r="W77" i="1" s="1"/>
  <c r="W78" i="1" a="1"/>
  <c r="W78" i="1" s="1"/>
  <c r="W79" i="1" a="1"/>
  <c r="W79" i="1" s="1"/>
  <c r="W80" i="1" a="1"/>
  <c r="W80" i="1" s="1"/>
  <c r="W81" i="1" a="1"/>
  <c r="W81" i="1" s="1"/>
  <c r="W82" i="1" a="1"/>
  <c r="W82" i="1" s="1"/>
  <c r="W83" i="1" a="1"/>
  <c r="W83" i="1" s="1"/>
  <c r="W84" i="1" a="1"/>
  <c r="W84" i="1" s="1"/>
  <c r="W85" i="1" a="1"/>
  <c r="W85" i="1" s="1"/>
  <c r="W86" i="1" a="1"/>
  <c r="W86" i="1" s="1"/>
  <c r="W87" i="1" a="1"/>
  <c r="W87" i="1" s="1"/>
  <c r="W88" i="1" a="1"/>
  <c r="W88" i="1" s="1"/>
  <c r="W89" i="1" a="1"/>
  <c r="W89" i="1" s="1"/>
  <c r="W90" i="1" a="1"/>
  <c r="W90" i="1" s="1"/>
  <c r="W91" i="1" a="1"/>
  <c r="W91" i="1" s="1"/>
  <c r="W92" i="1" a="1"/>
  <c r="W92" i="1" s="1"/>
  <c r="W93" i="1" a="1"/>
  <c r="W93" i="1" s="1"/>
  <c r="W94" i="1" a="1"/>
  <c r="W94" i="1" s="1"/>
  <c r="W95" i="1" a="1"/>
  <c r="W95" i="1" s="1"/>
  <c r="W96" i="1" a="1"/>
  <c r="W96" i="1" s="1"/>
  <c r="W97" i="1" a="1"/>
  <c r="W97" i="1" s="1"/>
  <c r="W98" i="1" a="1"/>
  <c r="W98" i="1" s="1"/>
  <c r="W99" i="1" a="1"/>
  <c r="W99" i="1" s="1"/>
  <c r="W100" i="1" a="1"/>
  <c r="W100" i="1" s="1"/>
  <c r="W101" i="1" a="1"/>
  <c r="W101" i="1" s="1"/>
  <c r="W102" i="1" a="1"/>
  <c r="W102" i="1" s="1"/>
  <c r="W103" i="1" a="1"/>
  <c r="W103" i="1" s="1"/>
  <c r="W104" i="1" a="1"/>
  <c r="W104" i="1" s="1"/>
  <c r="W105" i="1" a="1"/>
  <c r="W105" i="1" s="1"/>
  <c r="W106" i="1" a="1"/>
  <c r="W106" i="1" s="1"/>
  <c r="W107" i="1" a="1"/>
  <c r="W107" i="1" s="1"/>
  <c r="W108" i="1" a="1"/>
  <c r="W108" i="1" s="1"/>
  <c r="W109" i="1" a="1"/>
  <c r="W109" i="1" s="1"/>
  <c r="W110" i="1" a="1"/>
  <c r="W110" i="1" s="1"/>
  <c r="W111" i="1" a="1"/>
  <c r="W111" i="1" s="1"/>
  <c r="W112" i="1" a="1"/>
  <c r="W112" i="1" s="1"/>
  <c r="W113" i="1" a="1"/>
  <c r="W113" i="1" s="1"/>
  <c r="W114" i="1" a="1"/>
  <c r="W114" i="1" s="1"/>
  <c r="W115" i="1" a="1"/>
  <c r="W115" i="1" s="1"/>
  <c r="W116" i="1" a="1"/>
  <c r="W116" i="1" s="1"/>
  <c r="W117" i="1" a="1"/>
  <c r="W117" i="1" s="1"/>
  <c r="W118" i="1" a="1"/>
  <c r="W118" i="1" s="1"/>
  <c r="W119" i="1" a="1"/>
  <c r="W119" i="1" s="1"/>
  <c r="W120" i="1" a="1"/>
  <c r="W120" i="1" s="1"/>
  <c r="W121" i="1" a="1"/>
  <c r="W121" i="1" s="1"/>
  <c r="W122" i="1" a="1"/>
  <c r="W122" i="1" s="1"/>
  <c r="W123" i="1" a="1"/>
  <c r="W123" i="1" s="1"/>
  <c r="W124" i="1" a="1"/>
  <c r="W124" i="1" s="1"/>
  <c r="W125" i="1" a="1"/>
  <c r="W125" i="1" s="1"/>
  <c r="W126" i="1" a="1"/>
  <c r="W126" i="1" s="1"/>
  <c r="W127" i="1" a="1"/>
  <c r="W127" i="1" s="1"/>
  <c r="W128" i="1" a="1"/>
  <c r="W128" i="1" s="1"/>
  <c r="W129" i="1" a="1"/>
  <c r="W129" i="1" s="1"/>
  <c r="AH3" i="1"/>
  <c r="AH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2" i="1"/>
  <c r="AD129" i="1" l="1"/>
  <c r="AB129" i="1"/>
  <c r="AD128" i="1"/>
  <c r="AB128" i="1"/>
  <c r="AD127" i="1"/>
  <c r="AB127" i="1"/>
  <c r="AD126" i="1"/>
  <c r="AB126" i="1"/>
  <c r="AD125" i="1"/>
  <c r="AB125" i="1"/>
  <c r="AD124" i="1"/>
  <c r="AB124" i="1"/>
  <c r="AD123" i="1"/>
  <c r="AB123" i="1"/>
  <c r="AD122" i="1"/>
  <c r="AB122" i="1"/>
  <c r="AD121" i="1"/>
  <c r="AB121" i="1"/>
  <c r="AD120" i="1"/>
  <c r="AB120" i="1"/>
  <c r="AD119" i="1"/>
  <c r="AB119" i="1"/>
  <c r="AD118" i="1"/>
  <c r="AB118" i="1"/>
  <c r="AD117" i="1"/>
  <c r="AB117" i="1"/>
  <c r="AD116" i="1"/>
  <c r="AB116" i="1"/>
  <c r="AD115" i="1"/>
  <c r="AB115" i="1"/>
  <c r="AD114" i="1"/>
  <c r="AB114" i="1"/>
  <c r="AD113" i="1"/>
  <c r="AB113" i="1"/>
  <c r="AD112" i="1"/>
  <c r="AB112" i="1"/>
  <c r="AD111" i="1"/>
  <c r="AB111" i="1"/>
  <c r="AD110" i="1"/>
  <c r="AB110" i="1"/>
  <c r="AD109" i="1"/>
  <c r="AB109" i="1"/>
  <c r="AD108" i="1"/>
  <c r="AB108" i="1"/>
  <c r="AD107" i="1"/>
  <c r="AB107" i="1"/>
  <c r="AD106" i="1"/>
  <c r="AB106" i="1"/>
  <c r="AD105" i="1"/>
  <c r="AB105" i="1"/>
  <c r="AD104" i="1"/>
  <c r="AB104" i="1"/>
  <c r="AD103" i="1"/>
  <c r="AB103" i="1"/>
  <c r="AD102" i="1"/>
  <c r="AB102" i="1"/>
  <c r="AD101" i="1"/>
  <c r="AB101" i="1"/>
  <c r="AD100" i="1"/>
  <c r="AB100" i="1"/>
  <c r="AD99" i="1"/>
  <c r="AB99" i="1"/>
  <c r="AD98" i="1"/>
  <c r="AB98" i="1"/>
  <c r="AD97" i="1"/>
  <c r="AB97" i="1"/>
  <c r="AD96" i="1"/>
  <c r="AB96" i="1"/>
  <c r="AD95" i="1"/>
  <c r="AB95" i="1"/>
  <c r="AD94" i="1"/>
  <c r="AB94" i="1"/>
  <c r="AD93" i="1"/>
  <c r="AB93" i="1"/>
  <c r="AD92" i="1"/>
  <c r="AB92" i="1"/>
  <c r="AD91" i="1"/>
  <c r="AB91" i="1"/>
  <c r="AD90" i="1"/>
  <c r="AB90" i="1"/>
  <c r="AD89" i="1"/>
  <c r="AB89" i="1"/>
  <c r="AD88" i="1"/>
  <c r="AB88" i="1"/>
  <c r="AD87" i="1"/>
  <c r="AB87" i="1"/>
  <c r="AD86" i="1"/>
  <c r="AB86" i="1"/>
  <c r="AD85" i="1"/>
  <c r="AB85" i="1"/>
  <c r="AD84" i="1"/>
  <c r="AB84" i="1"/>
  <c r="AD83" i="1"/>
  <c r="AB83" i="1"/>
  <c r="AD82" i="1"/>
  <c r="AB82" i="1"/>
  <c r="AD81" i="1"/>
  <c r="AB81" i="1"/>
  <c r="AD80" i="1"/>
  <c r="AB80" i="1"/>
  <c r="AD79" i="1"/>
  <c r="AB79" i="1"/>
  <c r="AD78" i="1"/>
  <c r="AB78" i="1"/>
  <c r="AD77" i="1"/>
  <c r="AB77" i="1"/>
  <c r="AD76" i="1"/>
  <c r="AB76" i="1"/>
  <c r="AD75" i="1"/>
  <c r="AB75" i="1"/>
  <c r="AD74" i="1"/>
  <c r="AB74" i="1"/>
  <c r="AD73" i="1"/>
  <c r="AB73" i="1"/>
  <c r="AD72" i="1"/>
  <c r="AB72" i="1"/>
  <c r="AD71" i="1"/>
  <c r="AB71" i="1"/>
  <c r="AD70" i="1"/>
  <c r="AB70" i="1"/>
  <c r="AD69" i="1"/>
  <c r="AB69" i="1"/>
  <c r="AD68" i="1"/>
  <c r="AB68" i="1"/>
  <c r="AD67" i="1"/>
  <c r="AB67" i="1"/>
  <c r="AD66" i="1"/>
  <c r="AB66" i="1"/>
  <c r="AD65" i="1"/>
  <c r="AB65" i="1"/>
  <c r="AD64" i="1"/>
  <c r="AB64" i="1"/>
  <c r="AD63" i="1"/>
  <c r="AB63" i="1"/>
  <c r="AD62" i="1"/>
  <c r="AB62" i="1"/>
  <c r="AD61" i="1"/>
  <c r="AB61" i="1"/>
  <c r="AD60" i="1"/>
  <c r="AB60" i="1"/>
  <c r="AD59" i="1"/>
  <c r="AB59" i="1"/>
  <c r="AD58" i="1"/>
  <c r="AB58" i="1"/>
  <c r="AD57" i="1"/>
  <c r="AB57" i="1"/>
  <c r="AD56" i="1"/>
  <c r="AB56" i="1"/>
  <c r="AD55" i="1"/>
  <c r="AB55" i="1"/>
  <c r="AD54" i="1"/>
  <c r="AB54" i="1"/>
  <c r="AD53" i="1"/>
  <c r="AB53" i="1"/>
  <c r="AD52" i="1"/>
  <c r="AB52" i="1"/>
  <c r="AD51" i="1"/>
  <c r="AB51" i="1"/>
  <c r="AD50" i="1"/>
  <c r="AB50" i="1"/>
  <c r="AD49" i="1"/>
  <c r="AB49" i="1"/>
  <c r="AD48" i="1"/>
  <c r="AB48" i="1"/>
  <c r="AD47" i="1"/>
  <c r="AB47" i="1"/>
  <c r="AD46" i="1"/>
  <c r="AB46" i="1"/>
  <c r="AD45" i="1"/>
  <c r="AB45" i="1"/>
  <c r="AD44" i="1"/>
  <c r="AB44" i="1"/>
  <c r="AD43" i="1"/>
  <c r="AB43" i="1"/>
  <c r="AD42" i="1"/>
  <c r="AB42" i="1"/>
  <c r="AD41" i="1"/>
  <c r="AB41" i="1"/>
  <c r="AD40" i="1"/>
  <c r="AB40" i="1"/>
  <c r="AD39" i="1"/>
  <c r="AB39" i="1"/>
  <c r="AD38" i="1"/>
  <c r="AB38" i="1"/>
  <c r="AD37" i="1"/>
  <c r="AB37" i="1"/>
  <c r="AD36" i="1"/>
  <c r="AB36" i="1"/>
  <c r="AD35" i="1"/>
  <c r="AB35" i="1"/>
  <c r="AD34" i="1"/>
  <c r="AB34" i="1"/>
  <c r="AD33" i="1"/>
  <c r="AB33" i="1"/>
  <c r="AD32" i="1"/>
  <c r="AB32" i="1"/>
  <c r="AD31" i="1"/>
  <c r="AB31" i="1"/>
  <c r="AD30" i="1"/>
  <c r="AB30" i="1"/>
  <c r="AD29" i="1"/>
  <c r="AB29" i="1"/>
  <c r="AD28" i="1"/>
  <c r="AB28" i="1"/>
  <c r="AD27" i="1"/>
  <c r="AB27" i="1"/>
  <c r="AD26" i="1"/>
  <c r="AB26" i="1"/>
  <c r="AD25" i="1"/>
  <c r="AB25" i="1"/>
  <c r="AD24" i="1"/>
  <c r="AB24" i="1"/>
  <c r="AD23" i="1"/>
  <c r="AB23" i="1"/>
  <c r="AD22" i="1"/>
  <c r="AB22" i="1"/>
  <c r="AD21" i="1"/>
  <c r="AB21" i="1"/>
  <c r="AD20" i="1"/>
  <c r="AB20" i="1"/>
  <c r="AD19" i="1"/>
  <c r="AB19" i="1"/>
  <c r="AD18" i="1"/>
  <c r="AB18" i="1"/>
  <c r="AD17" i="1"/>
  <c r="AB17" i="1"/>
  <c r="AD16" i="1"/>
  <c r="AB16" i="1"/>
  <c r="AD15" i="1"/>
  <c r="AB15" i="1"/>
  <c r="AD14" i="1"/>
  <c r="AB14" i="1"/>
  <c r="AD13" i="1"/>
  <c r="AB13" i="1"/>
  <c r="AD12" i="1"/>
  <c r="AB12" i="1"/>
  <c r="AD11" i="1"/>
  <c r="AB11" i="1"/>
  <c r="AD10" i="1"/>
  <c r="AB10" i="1"/>
  <c r="AD9" i="1"/>
  <c r="AB9" i="1"/>
  <c r="AD8" i="1"/>
  <c r="AB8" i="1"/>
  <c r="AD7" i="1"/>
  <c r="AB7" i="1"/>
  <c r="AD6" i="1"/>
  <c r="AB6" i="1"/>
  <c r="AD5" i="1"/>
  <c r="AB5" i="1"/>
  <c r="AD4" i="1"/>
  <c r="AB4" i="1"/>
  <c r="AD3" i="1"/>
  <c r="AB3" i="1"/>
  <c r="AD2" i="1"/>
  <c r="AB2" i="1"/>
  <c r="L129" i="1"/>
  <c r="J129" i="1"/>
  <c r="L128" i="1"/>
  <c r="J128" i="1"/>
  <c r="L127" i="1"/>
  <c r="J127" i="1"/>
  <c r="L126" i="1"/>
  <c r="J126" i="1"/>
  <c r="L125" i="1"/>
  <c r="J125" i="1"/>
  <c r="L124" i="1"/>
  <c r="J124" i="1"/>
  <c r="L123" i="1"/>
  <c r="J123" i="1"/>
  <c r="L122" i="1"/>
  <c r="J122" i="1"/>
  <c r="L121" i="1"/>
  <c r="J121" i="1"/>
  <c r="L120" i="1"/>
  <c r="J120" i="1"/>
  <c r="L119" i="1"/>
  <c r="J119" i="1"/>
  <c r="L118" i="1"/>
  <c r="J118" i="1"/>
  <c r="L117" i="1"/>
  <c r="J117" i="1"/>
  <c r="L116" i="1"/>
  <c r="J116" i="1"/>
  <c r="L115" i="1"/>
  <c r="J115" i="1"/>
  <c r="L114" i="1"/>
  <c r="J114" i="1"/>
  <c r="L113" i="1"/>
  <c r="J113" i="1"/>
  <c r="L112" i="1"/>
  <c r="J112" i="1"/>
  <c r="L111" i="1"/>
  <c r="J111" i="1"/>
  <c r="L110" i="1"/>
  <c r="J110" i="1"/>
  <c r="L109" i="1"/>
  <c r="J109" i="1"/>
  <c r="L108" i="1"/>
  <c r="J108" i="1"/>
  <c r="L107" i="1"/>
  <c r="J107" i="1"/>
  <c r="L106" i="1"/>
  <c r="J106" i="1"/>
  <c r="L105" i="1"/>
  <c r="J105" i="1"/>
  <c r="L104" i="1"/>
  <c r="J104" i="1"/>
  <c r="L103" i="1"/>
  <c r="J103" i="1"/>
  <c r="L102" i="1"/>
  <c r="J102" i="1"/>
  <c r="L101" i="1"/>
  <c r="J101" i="1"/>
  <c r="L100" i="1"/>
  <c r="J100" i="1"/>
  <c r="L99" i="1"/>
  <c r="J99" i="1"/>
  <c r="L98" i="1"/>
  <c r="J98" i="1"/>
  <c r="L97" i="1"/>
  <c r="J97" i="1"/>
  <c r="L96" i="1"/>
  <c r="J96" i="1"/>
  <c r="L95" i="1"/>
  <c r="J95" i="1"/>
  <c r="L94" i="1"/>
  <c r="J94" i="1"/>
  <c r="L93" i="1"/>
  <c r="J93" i="1"/>
  <c r="L92" i="1"/>
  <c r="J92" i="1"/>
  <c r="L91" i="1"/>
  <c r="J91" i="1"/>
  <c r="L90" i="1"/>
  <c r="J90" i="1"/>
  <c r="L89" i="1"/>
  <c r="J89" i="1"/>
  <c r="L88" i="1"/>
  <c r="J88" i="1"/>
  <c r="L87" i="1"/>
  <c r="J87" i="1"/>
  <c r="L86" i="1"/>
  <c r="J86" i="1"/>
  <c r="L85" i="1"/>
  <c r="J85" i="1"/>
  <c r="L84" i="1"/>
  <c r="J84" i="1"/>
  <c r="L83" i="1"/>
  <c r="J83" i="1"/>
  <c r="L82" i="1"/>
  <c r="J82" i="1"/>
  <c r="L81" i="1"/>
  <c r="J81" i="1"/>
  <c r="L80" i="1"/>
  <c r="J80" i="1"/>
  <c r="L79" i="1"/>
  <c r="J79" i="1"/>
  <c r="L78" i="1"/>
  <c r="J78" i="1"/>
  <c r="L77" i="1"/>
  <c r="J77" i="1"/>
  <c r="L76" i="1"/>
  <c r="J76" i="1"/>
  <c r="L75" i="1"/>
  <c r="J75" i="1"/>
  <c r="L74" i="1"/>
  <c r="J74" i="1"/>
  <c r="L73" i="1"/>
  <c r="J73" i="1"/>
  <c r="L72" i="1"/>
  <c r="J72" i="1"/>
  <c r="L71" i="1"/>
  <c r="J71" i="1"/>
  <c r="L70" i="1"/>
  <c r="J70" i="1"/>
  <c r="L69" i="1"/>
  <c r="J69" i="1"/>
  <c r="L68" i="1"/>
  <c r="J68" i="1"/>
  <c r="L67" i="1"/>
  <c r="J67" i="1"/>
  <c r="L66" i="1"/>
  <c r="J66" i="1"/>
  <c r="L65" i="1"/>
  <c r="J65" i="1"/>
  <c r="L64" i="1"/>
  <c r="J64" i="1"/>
  <c r="L63" i="1"/>
  <c r="J63" i="1"/>
  <c r="L62" i="1"/>
  <c r="J62" i="1"/>
  <c r="L61" i="1"/>
  <c r="J61" i="1"/>
  <c r="L60" i="1"/>
  <c r="J60" i="1"/>
  <c r="L59" i="1"/>
  <c r="J59" i="1"/>
  <c r="L58" i="1"/>
  <c r="J58" i="1"/>
  <c r="L57" i="1"/>
  <c r="J57" i="1"/>
  <c r="L56" i="1"/>
  <c r="J56" i="1"/>
  <c r="L55" i="1"/>
  <c r="J55" i="1"/>
  <c r="L54" i="1"/>
  <c r="J54" i="1"/>
  <c r="L53" i="1"/>
  <c r="J53" i="1"/>
  <c r="L52" i="1"/>
  <c r="J52" i="1"/>
  <c r="L51" i="1"/>
  <c r="J51" i="1"/>
  <c r="L50" i="1"/>
  <c r="J50" i="1"/>
  <c r="L49" i="1"/>
  <c r="J49" i="1"/>
  <c r="L48" i="1"/>
  <c r="J48" i="1"/>
  <c r="L47" i="1"/>
  <c r="J47" i="1"/>
  <c r="L46" i="1"/>
  <c r="J46" i="1"/>
  <c r="L45" i="1"/>
  <c r="J45" i="1"/>
  <c r="L44" i="1"/>
  <c r="J44" i="1"/>
  <c r="L43" i="1"/>
  <c r="J43" i="1"/>
  <c r="L42" i="1"/>
  <c r="J42" i="1"/>
  <c r="L41" i="1"/>
  <c r="J41" i="1"/>
  <c r="L40" i="1"/>
  <c r="J40" i="1"/>
  <c r="L39" i="1"/>
  <c r="J39" i="1"/>
  <c r="L38" i="1"/>
  <c r="J38" i="1"/>
  <c r="L37" i="1"/>
  <c r="J37" i="1"/>
  <c r="L36" i="1"/>
  <c r="J36" i="1"/>
  <c r="L35" i="1"/>
  <c r="J35" i="1"/>
  <c r="L34" i="1"/>
  <c r="J34" i="1"/>
  <c r="L33" i="1"/>
  <c r="J33" i="1"/>
  <c r="L32" i="1"/>
  <c r="J32" i="1"/>
  <c r="L31" i="1"/>
  <c r="J31" i="1"/>
  <c r="L30" i="1"/>
  <c r="J30" i="1"/>
  <c r="L29" i="1"/>
  <c r="J29" i="1"/>
  <c r="L28" i="1"/>
  <c r="J28" i="1"/>
  <c r="L27" i="1"/>
  <c r="J27" i="1"/>
  <c r="L26" i="1"/>
  <c r="J26" i="1"/>
  <c r="L25" i="1"/>
  <c r="J25" i="1"/>
  <c r="L24" i="1"/>
  <c r="J24" i="1"/>
  <c r="L23" i="1"/>
  <c r="J23" i="1"/>
  <c r="L22" i="1"/>
  <c r="J22" i="1"/>
  <c r="L21" i="1"/>
  <c r="J21" i="1"/>
  <c r="L20" i="1"/>
  <c r="J20" i="1"/>
  <c r="L19" i="1"/>
  <c r="J19" i="1"/>
  <c r="L18" i="1"/>
  <c r="J18" i="1"/>
  <c r="L17" i="1"/>
  <c r="J17" i="1"/>
  <c r="L16" i="1"/>
  <c r="J16" i="1"/>
  <c r="L15" i="1"/>
  <c r="J15" i="1"/>
  <c r="L14" i="1"/>
  <c r="J14" i="1"/>
  <c r="L13" i="1"/>
  <c r="J13" i="1"/>
  <c r="L12" i="1"/>
  <c r="J12" i="1"/>
  <c r="L11" i="1"/>
  <c r="J11" i="1"/>
  <c r="L10" i="1"/>
  <c r="J10" i="1"/>
  <c r="L9" i="1"/>
  <c r="J9" i="1"/>
  <c r="L8" i="1"/>
  <c r="J8" i="1"/>
  <c r="L7" i="1"/>
  <c r="J7" i="1"/>
  <c r="L6" i="1"/>
  <c r="J6" i="1"/>
  <c r="L5" i="1"/>
  <c r="J5" i="1"/>
  <c r="L4" i="1"/>
  <c r="J4" i="1"/>
  <c r="L3" i="1"/>
  <c r="J3" i="1"/>
  <c r="L2" i="1"/>
  <c r="J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U2" i="1"/>
  <c r="S2" i="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2" i="1"/>
  <c r="AL3" i="1" l="1"/>
  <c r="AL4"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2" i="1"/>
  <c r="AJ3" i="1" l="1"/>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2" i="1"/>
  <c r="AP3" i="1" l="1"/>
  <c r="AP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2" i="1"/>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2" i="1"/>
  <c r="AV129" i="1" l="1"/>
  <c r="AV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コマンドで『move_sell』、『move_commu』を指定した際は必ずこの列で目的地を示す数字を入力してください。0を含め適当でない数字が入力されている場合は不具合が発生する可能性があります。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
●入力文字数の多さ故に他のセルまではみでて見分けがしづらくなるため、色を付けています</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00000000-0006-0000-0000-000005000000}">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6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7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8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①：テンプレファイルをコピペし、『commu○（数字）.xlsx』と名前を変更してください。（現在有効な数字は１～２）
②：ファイル内commuシートに必要な要素を入力してください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00000000-0006-0000-0100-000002000000}">
      <text>
        <r>
          <rPr>
            <sz val="11"/>
            <color indexed="81"/>
            <rFont val="MS P ゴシック"/>
            <family val="3"/>
            <charset val="128"/>
          </rPr>
          <t>③：『commu』シートを選択した状態で『名前を付けて保存』などで新しく保存し、その際ファイル拡張子をcsvで保存してください。
・その際警告文が表示されますが――
　・『選択したシート以外は切り捨てられるが構わないか？（プログラムに必要な要素は全てcommuシートに集約している）』
　・『xlsxファイルだったらできた機能が扱えなくなるが構わないか？（csvファイルにしてから編集する要素はない）』
という内容のものなのでそのまま続行してください。
④：起動ファイルでテストを行う事ができます。STARTやマップアイコンからのコミュ閲覧では『commu1.csv』のコミュが閲覧できます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00000000-0006-0000-0200-000001000000}">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<sst xmlns="http://schemas.openxmlformats.org/spreadsheetml/2006/main" count="216" uniqueCount="178">
  <si>
    <t>コマンド</t>
  </si>
  <si>
    <t>台詞</t>
  </si>
  <si>
    <t>キャラ中央</t>
  </si>
  <si>
    <t>ＢＧＭ</t>
  </si>
  <si>
    <t>移動先コミュ番号</t>
    <rPh sb="0" eb="2">
      <t>イドウ</t>
    </rPh>
    <rPh sb="2" eb="3">
      <t>サキ</t>
    </rPh>
    <rPh sb="6" eb="8">
      <t>バンゴウ</t>
    </rPh>
    <phoneticPr fontId="18"/>
  </si>
  <si>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</si>
  <si>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</si>
  <si>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</si>
  <si>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</si>
  <si>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</si>
  <si>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</si>
  <si>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</si>
  <si>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</si>
  <si>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</si>
  <si>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</si>
  <si>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</si>
  <si>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</si>
  <si>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</si>
  <si>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</si>
  <si>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</si>
  <si>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</si>
  <si>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</si>
  <si>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</si>
  <si>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</si>
  <si>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</si>
  <si>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</si>
  <si>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</si>
  <si>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</si>
  <si>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</si>
  <si>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</si>
  <si>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</si>
  <si>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</si>
  <si>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</si>
  <si>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</si>
  <si>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</si>
  <si>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</si>
  <si>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</si>
  <si>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</si>
  <si>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</si>
  <si>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</si>
  <si>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</si>
  <si>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</si>
  <si>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</si>
  <si>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</si>
  <si>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</si>
  <si>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『ＢＧＭを停止』</t>
    <rPh sb="5" eb="7">
      <t>テイシ</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</si>
  <si>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</si>
  <si>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</si>
  <si>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</si>
  <si>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</si>
  <si>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</si>
  <si>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</si>
  <si>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</si>
  <si>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</si>
  <si>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</si>
  <si>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</si>
  <si>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</si>
  <si>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</si>
  <si>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</si>
  <si>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</si>
  <si>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</si>
  <si>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</si>
  <si>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</si>
  <si>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</si>
  <si>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</si>
  <si>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</si>
  <si>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</si>
  <si>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『ＳＥを停止』</t>
    <rPh sb="4" eb="6">
      <t>テイシ</t>
    </rPh>
    <phoneticPr fontId="18"/>
  </si>
  <si>
    <t>ノック</t>
    <phoneticPr fontId="18"/>
  </si>
  <si>
    <t>日常・２</t>
    <rPh sb="0" eb="2">
      <t>ニチジョウ</t>
    </rPh>
    <phoneticPr fontId="18"/>
  </si>
  <si>
    <t>日常・１</t>
    <rPh sb="0" eb="2">
      <t>ニチジョウ</t>
    </rPh>
    <phoneticPr fontId="18"/>
  </si>
  <si>
    <t>日常・３</t>
    <rPh sb="0" eb="2">
      <t>ニチジョウ</t>
    </rPh>
    <phoneticPr fontId="18"/>
  </si>
  <si>
    <t>ハプニング</t>
    <phoneticPr fontId="18"/>
  </si>
  <si>
    <t>不穏</t>
    <rPh sb="0" eb="2">
      <t>フオン</t>
    </rPh>
    <phoneticPr fontId="18"/>
  </si>
  <si>
    <t>悲しい</t>
    <rPh sb="0" eb="1">
      <t>カナ</t>
    </rPh>
    <phoneticPr fontId="18"/>
  </si>
  <si>
    <t>校長</t>
    <rPh sb="0" eb="2">
      <t>コウチョウ</t>
    </rPh>
    <phoneticPr fontId="18"/>
  </si>
  <si>
    <t>樹里</t>
    <rPh sb="0" eb="2">
      <t>ジュリ</t>
    </rPh>
    <phoneticPr fontId="18"/>
  </si>
  <si>
    <t>はづき</t>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</si>
  <si>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</si>
  <si>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</si>
  <si>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</si>
  <si>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</si>
  <si>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</si>
  <si>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</si>
  <si>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</si>
  <si>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</si>
  <si>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</si>
  <si>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</si>
  <si>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思考</t>
    <rPh sb="0" eb="2">
      <t>シコウ</t>
    </rPh>
    <phoneticPr fontId="18"/>
  </si>
  <si>
    <t>ポーズ</t>
    <phoneticPr fontId="18"/>
  </si>
  <si>
    <t>夕方</t>
    <rPh sb="0" eb="2">
      <t>ユウガタ</t>
    </rPh>
    <phoneticPr fontId="18"/>
  </si>
  <si>
    <t>メイン・タイトル</t>
    <phoneticPr fontId="18"/>
  </si>
  <si>
    <t>めぐる</t>
    <phoneticPr fontId="18"/>
  </si>
  <si>
    <t>凛世</t>
    <rPh sb="0" eb="1">
      <t>リン</t>
    </rPh>
    <rPh sb="1" eb="2">
      <t>ヨ</t>
    </rPh>
    <phoneticPr fontId="18"/>
  </si>
  <si>
    <t>千雪</t>
    <rPh sb="0" eb="2">
      <t>チユキ</t>
    </rPh>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</si>
  <si>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</si>
  <si>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</si>
  <si>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</si>
  <si>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</si>
  <si>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</si>
  <si>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</si>
  <si>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</si>
  <si>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</si>
  <si>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</si>
  <si>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</si>
  <si>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</si>
  <si>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</si>
  <si>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</si>
  <si>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足音（ループ）</t>
    <rPh sb="0" eb="2">
      <t>アシオト</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</si>
  <si>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</si>
  <si>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</si>
  <si>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</si>
  <si>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人と人がぶつかる</t>
    <rPh sb="0" eb="1">
      <t>ヒト</t>
    </rPh>
    <rPh sb="2" eb="3">
      <t>ヒト</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</si>
  <si>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</si>
  <si>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</si>
  <si>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</si>
  <si>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</si>
  <si>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</si>
  <si>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</si>
  <si>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</si>
  <si>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</si>
  <si>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</si>
  <si>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</si>
  <si>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</si>
  <si>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</si>
  <si>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</si>
  <si>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</si>
  <si>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</si>
  <si>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</si>
  <si>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</si>
  <si>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</si>
  <si>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</si>
  <si>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</si>
  <si>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</si>
  <si>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</si>
  <si>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</si>
  <si>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</si>
  <si>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</si>
  <si>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</si>
  <si>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</si>
  <si>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</si>
  <si>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</si>
  <si>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</si>
  <si>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</si>
  <si>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</si>
  <si>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</si>
  <si>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</si>
  <si>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</si>
  <si>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</si>
  <si>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めぐる</t>
  </si>
  <si>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</si>
  <si>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</si>
  <si>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</si>
  <si>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</si>
  <si>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</si>
  <si>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</si>
  <si>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</si>
  <si>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</si>
  <si>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</si>
  <si>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恋鐘</t>
    <rPh sb="0" eb="2">
      <t>コガネ</t>
    </rPh>
    <phoneticPr fontId="18"/>
  </si>
  <si>
    <t>生徒達の声</t>
    <rPh sb="0" eb="2">
      <t>セイト</t>
    </rPh>
    <rPh sb="2" eb="3">
      <t>タチ</t>
    </rPh>
    <rPh sb="4" eb="5">
      <t>コエ</t>
    </rPh>
    <phoneticPr fontId="18"/>
  </si>
  <si>
    <t>生徒達の声ロング</t>
    <rPh sb="0" eb="2">
      <t>セイト</t>
    </rPh>
    <rPh sb="2" eb="3">
      <t>タチ</t>
    </rPh>
    <rPh sb="4" eb="5">
      <t>コエ</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</si>
  <si>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</si>
  <si>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</si>
  <si>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</si>
  <si>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</si>
  <si>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</si>
  <si>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</si>
  <si>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</si>
  <si>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</si>
  <si>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</si>
  <si>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</si>
  <si>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</si>
  <si>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これはテンプレのメッセージファイルだよ</t>
    <phoneticPr fontId="18"/>
  </si>
  <si>
    <t>ちゃんとcsvファイルで保存したか@確認してみてね</t>
    <rPh sb="12" eb="14">
      <t>ホゾン</t>
    </rPh>
    <rPh sb="18" eb="20">
      <t>カクニン</t>
    </rPh>
    <phoneticPr fontId="18"/>
  </si>
  <si>
    <t>恋鐘</t>
    <rPh sb="0" eb="2">
      <t>コガネ</t>
    </rPh>
    <phoneticPr fontId="18"/>
  </si>
  <si>
    <t>マニュアル（コメント①</t>
    <phoneticPr fontId="18"/>
  </si>
  <si>
    <t>、②）</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</si>
</sst>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sz val="11"/>
      <color rgb="FF00B050"/>
      <name val="ＭＳ Ｐゴシック"/>
      <family val="2"/>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0">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0" fillId="0" borderId="0" xfId="0" applyFont="1">
      <alignment vertical="center"/>
    </xf>
    <xf numFmtId="0" fontId="32" fillId="0" borderId="0" xfId="0" applyFont="1" applyAlignment="1">
      <alignment vertical="center"/>
    </xf>
    <xf numFmtId="0" fontId="0" fillId="0" borderId="10" xfId="0" applyBorder="1">
      <alignment vertical="center"/>
    </xf>
    <xf numFmtId="0" fontId="0" fillId="36" borderId="0" xfId="0" applyFill="1">
      <alignment vertical="center"/>
    </xf>
    <xf numFmtId="0" fontId="26" fillId="0" borderId="0" xfId="42">
      <alignment vertical="center"/>
    </xf>
    <xf numFmtId="0" fontId="0" fillId="37" borderId="0" xfId="0" applyFill="1">
      <alignment vertical="center"/>
    </xf>
    <xf numFmtId="0" fontId="0" fillId="38" borderId="0" xfId="0" applyFill="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54</xdr:col>
      <xdr:colOff>190501</xdr:colOff>
      <xdr:row>4</xdr:row>
      <xdr:rowOff>111125</xdr:rowOff>
    </xdr:from>
    <xdr:to>
      <xdr:col>56</xdr:col>
      <xdr:colOff>555625</xdr:colOff>
      <xdr:row>7</xdr:row>
      <xdr:rowOff>55563</xdr:rowOff>
    </xdr:to>
    <xdr:sp macro="[0]!CSV出力_通常" textlink="">
      <xdr:nvSpPr>
        <xdr:cNvPr id="4" name="正方形/長方形 3">
          <a:extLst>
            <a:ext uri="{FF2B5EF4-FFF2-40B4-BE49-F238E27FC236}">
              <a16:creationId xmlns:a16="http://schemas.microsoft.com/office/drawing/2014/main" id="{00000000-0008-0000-0000-000004000000}"/>
            </a:ext>
          </a:extLst>
        </xdr:cNvPr>
        <xdr:cNvSpPr/>
      </xdr:nvSpPr>
      <xdr:spPr>
        <a:xfrm>
          <a:off x="24169689" y="809625"/>
          <a:ext cx="1730374" cy="468313"/>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kumimoji="1" lang="en-US" altLang="ja-JP" sz="2000"/>
            <a:t>csv</a:t>
          </a:r>
          <a:r>
            <a:rPr kumimoji="1" lang="ja-JP" altLang="en-US" sz="2000"/>
            <a:t>出力</a:t>
          </a:r>
          <a:endParaRPr kumimoji="1" lang="en-US" altLang="ja-JP" sz="2000"/>
        </a:p>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12385;&#12419;&#12435;&#12392;csv&#12501;&#12449;&#12452;&#12523;&#12391;&#20445;&#23384;&#12375;&#12383;&#12363;@&#30906;&#35469;&#12375;&#12390;&#12415;&#12390;&#12397;"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29"/>
  <sheetViews>
    <sheetView tabSelected="1" topLeftCell="AI1" zoomScale="120" zoomScaleNormal="120" workbookViewId="0">
      <pane ySplit="1" topLeftCell="A2" activePane="bottomLeft" state="frozen"/>
      <selection pane="bottomLeft" activeCell="E18" sqref="E18"/>
    </sheetView>
  </sheetViews>
  <sheetFormatPr defaultRowHeight="13.5"/>
  <cols>
    <col min="1" max="1" width="9" style="2"/>
    <col min="5" max="5" width="9" style="13"/>
    <col min="6" max="6" width="11.625" customWidth="1"/>
    <col min="7" max="7" width="9" hidden="1" customWidth="1"/>
    <col min="8" max="9" width="9" style="19" customWidth="1"/>
    <col min="10" max="10" width="9" style="19" hidden="1" customWidth="1"/>
    <col min="11" max="11" width="9" style="19"/>
    <col min="12" max="12" width="9" style="19" hidden="1" customWidth="1"/>
    <col min="13" max="13" width="9" style="19"/>
    <col min="14" max="14" width="9" style="19" hidden="1" customWidth="1"/>
    <col min="15" max="15" width="9" style="19"/>
    <col min="16" max="16" width="0" hidden="1" customWidth="1"/>
    <col min="17" max="18" width="9" style="18"/>
    <col min="19" max="19" width="9" style="18" hidden="1" customWidth="1"/>
    <col min="20" max="20" width="9" style="18"/>
    <col min="21" max="21" width="9" style="18" hidden="1" customWidth="1"/>
    <col min="22" max="22" width="9" style="18"/>
    <col min="23" max="23" width="9" style="18" hidden="1" customWidth="1"/>
    <col min="24" max="24" width="9" style="18"/>
    <col min="25" max="25" width="0" hidden="1" customWidth="1"/>
    <col min="26" max="27" width="9" style="9" customWidth="1"/>
    <col min="28" max="28" width="9" style="9" hidden="1" customWidth="1"/>
    <col min="29" max="29" width="9" style="9"/>
    <col min="30" max="30" width="9" style="9" hidden="1" customWidth="1"/>
    <col min="31" max="31" width="9" style="9"/>
    <col min="32" max="32" width="9" style="9" hidden="1" customWidth="1"/>
    <col min="33" max="33" width="9" style="9"/>
    <col min="34" max="34" width="0" hidden="1" customWidth="1"/>
    <col min="35" max="35" width="11.625" customWidth="1"/>
    <col min="36" max="36" width="9" hidden="1" customWidth="1"/>
    <col min="37" max="37" width="9" customWidth="1"/>
    <col min="38" max="38" width="9" hidden="1" customWidth="1"/>
    <col min="40" max="40" width="9" hidden="1" customWidth="1"/>
    <col min="42" max="42" width="9" hidden="1" customWidth="1"/>
    <col min="44" max="44" width="9" hidden="1" customWidth="1"/>
    <col min="45" max="45" width="9" customWidth="1"/>
    <col min="46" max="46" width="9" hidden="1" customWidth="1"/>
    <col min="47" max="47" width="13.625" customWidth="1"/>
    <col min="48" max="48" width="9" hidden="1" customWidth="1"/>
  </cols>
  <sheetData>
    <row r="1" spans="1:54">
      <c r="A1" s="3" t="s">
        <v>0</v>
      </c>
      <c r="B1" s="1" t="s">
        <v>4</v>
      </c>
      <c r="C1" t="s">
        <v>8</v>
      </c>
      <c r="D1" t="s">
        <v>14</v>
      </c>
      <c r="E1" s="13" t="s">
        <v>1</v>
      </c>
      <c r="F1" s="4" t="s">
        <v>40</v>
      </c>
      <c r="G1" t="s">
        <v>39</v>
      </c>
      <c r="H1" s="19" t="s">
        <v>56</v>
      </c>
      <c r="I1" s="19" t="s">
        <v>89</v>
      </c>
      <c r="J1" s="19" t="s">
        <v>126</v>
      </c>
      <c r="K1" s="19" t="s">
        <v>125</v>
      </c>
      <c r="L1" s="19" t="s">
        <v>128</v>
      </c>
      <c r="M1" s="19" t="s">
        <v>127</v>
      </c>
      <c r="N1" s="19" t="s">
        <v>57</v>
      </c>
      <c r="O1" s="19" t="s">
        <v>133</v>
      </c>
      <c r="P1" s="9" t="s">
        <v>137</v>
      </c>
      <c r="Q1" s="18" t="s">
        <v>2</v>
      </c>
      <c r="R1" s="18" t="s">
        <v>89</v>
      </c>
      <c r="S1" s="18" t="s">
        <v>126</v>
      </c>
      <c r="T1" s="18" t="s">
        <v>125</v>
      </c>
      <c r="U1" s="18" t="s">
        <v>128</v>
      </c>
      <c r="V1" s="18" t="s">
        <v>127</v>
      </c>
      <c r="W1" s="18" t="s">
        <v>33</v>
      </c>
      <c r="X1" s="18" t="s">
        <v>133</v>
      </c>
      <c r="Y1" s="16" t="s">
        <v>137</v>
      </c>
      <c r="Z1" s="9" t="s">
        <v>58</v>
      </c>
      <c r="AA1" s="9" t="s">
        <v>89</v>
      </c>
      <c r="AB1" s="9" t="s">
        <v>126</v>
      </c>
      <c r="AC1" s="9" t="s">
        <v>125</v>
      </c>
      <c r="AD1" s="9" t="s">
        <v>128</v>
      </c>
      <c r="AE1" s="9" t="s">
        <v>127</v>
      </c>
      <c r="AF1" s="9" t="s">
        <v>59</v>
      </c>
      <c r="AG1" s="9" t="s">
        <v>133</v>
      </c>
      <c r="AH1" s="9" t="s">
        <v>137</v>
      </c>
      <c r="AI1" s="11" t="s">
        <v>53</v>
      </c>
      <c r="AJ1" t="s">
        <v>55</v>
      </c>
      <c r="AK1" s="1" t="s">
        <v>61</v>
      </c>
      <c r="AL1" s="1" t="s">
        <v>62</v>
      </c>
      <c r="AM1" t="s">
        <v>19</v>
      </c>
      <c r="AN1" t="s">
        <v>48</v>
      </c>
      <c r="AO1" s="1" t="s">
        <v>49</v>
      </c>
      <c r="AP1" t="s">
        <v>50</v>
      </c>
      <c r="AQ1" t="s">
        <v>3</v>
      </c>
      <c r="AR1" t="s">
        <v>15</v>
      </c>
      <c r="AS1" s="14" t="s">
        <v>82</v>
      </c>
      <c r="AT1" t="s">
        <v>80</v>
      </c>
      <c r="AU1" t="s">
        <v>16</v>
      </c>
      <c r="AV1" t="s">
        <v>17</v>
      </c>
      <c r="AW1" s="5" t="s">
        <v>21</v>
      </c>
      <c r="AX1" s="6" t="s">
        <v>22</v>
      </c>
      <c r="AY1" s="7" t="s">
        <v>23</v>
      </c>
      <c r="AZ1" s="8" t="s">
        <v>24</v>
      </c>
      <c r="BA1" s="9" t="s">
        <v>25</v>
      </c>
      <c r="BB1" s="10" t="s">
        <v>26</v>
      </c>
    </row>
    <row r="2" spans="1:54">
      <c r="B2">
        <v>0</v>
      </c>
      <c r="C2" t="s">
        <v>149</v>
      </c>
      <c r="E2" s="13" t="s">
        <v>173</v>
      </c>
      <c r="G2">
        <f>IF(F2="",0,INDEX(データベース!D$2:D$4,MATCH(F2,データベース!C$2:C$4,0)))</f>
        <v>0</v>
      </c>
      <c r="J2" s="19" t="str">
        <f>"服装・" &amp; H2</f>
        <v>服装・</v>
      </c>
      <c r="L2" s="19" t="str">
        <f>"感情・" &amp; H2</f>
        <v>感情・</v>
      </c>
      <c r="N2" s="19" cm="1">
        <f t="array" aca="1" ref="N2" ca="1">IF(H2="",0,INDEX(データベース!$F$2:$F$5,MATCH(H2,データベース!$E$2:$E$5,0)))*1000
+IF(I2="",0,INDEX(データベース!$D$41:$D$44,MATCH(I2,OFFSET(データベース!$A$41,0,IF(H2="",0,INDEX(データベース!$F$2:$F$5,MATCH(H2,データベース!$E$2:$E$5,0)))-1,4,1),0),))*100
+IF(K2="",0,INDEX(データベース!$D$48:$D$52,MATCH(K2,OFFSET(データベース!$A$48,0,IF(H2="",0,INDEX(データベース!$F$2:$F$5,MATCH(H2,データベース!$E$2:$E$5,0)))-1,5,1),0),))*10
+IF(M2="",0,INDEX(データベース!$D$56:$D$62,MATCH(M2,OFFSET(データベース!$A$56,0,IF(H2="",0,INDEX(データベース!$F$2:$F$5,MATCH(H2,データベース!$E$2:$E$5,0)))-1,7,1),0),))</f>
        <v>0</v>
      </c>
      <c r="P2">
        <f>IF(O2="",0,INDEX(データベース!$H$2:$H$4,MATCH(O2,データベース!$G$2:$G$4,0)))</f>
        <v>0</v>
      </c>
      <c r="Q2" s="18" t="s">
        <v>149</v>
      </c>
      <c r="R2" s="18" t="s">
        <v>86</v>
      </c>
      <c r="S2" s="18" t="str">
        <f>"服装・" &amp; Q2</f>
        <v>服装・めぐる</v>
      </c>
      <c r="T2" s="18" t="s">
        <v>123</v>
      </c>
      <c r="U2" s="18" t="str">
        <f>"感情・" &amp; Q2</f>
        <v>感情・めぐる</v>
      </c>
      <c r="V2" s="18" t="s">
        <v>86</v>
      </c>
      <c r="W2" s="18" cm="1">
        <f t="array" aca="1" ref="W2" ca="1">IF(Q2="",0,INDEX(データベース!$F$2:$F$5,MATCH(Q2,データベース!$E$2:$E$5,0)))*1000
+IF(R2="",0,INDEX(データベース!$D$41:$D$44,MATCH(R2,OFFSET(データベース!$A$41,0,IF(Q2="",0,INDEX(データベース!$F$2:$F$5,MATCH(Q2,データベース!$E$2:$E$5,0)))-1,4,1),0),))*100
+IF(T2="",0,INDEX(データベース!$D$48:$D$52,MATCH(T2,OFFSET(データベース!$A$48,0,IF(Q2="",0,INDEX(データベース!$F$2:$F$5,MATCH(Q2,データベース!$E$2:$E$5,0)))-1,5,1),0),))*10
+IF(V2="",0,INDEX(データベース!$D$56:$D$62,MATCH(V2,OFFSET(データベース!$A$56,0,IF(Q2="",0,INDEX(データベース!$F$2:$F$5,MATCH(Q2,データベース!$E$2:$E$5,0)))-1,7,1),0),))</f>
        <v>1021</v>
      </c>
      <c r="Y2">
        <f>IF(X2="",0,INDEX(データベース!$H$2:$H$4,MATCH(X2,データベース!$G$2:$G$4,0)))</f>
        <v>0</v>
      </c>
      <c r="AB2" s="9" t="str">
        <f>"服装・" &amp; Z2</f>
        <v>服装・</v>
      </c>
      <c r="AD2" s="9" t="str">
        <f>"感情・" &amp; Z2</f>
        <v>感情・</v>
      </c>
      <c r="AF2" s="9" cm="1">
        <f t="array" aca="1" ref="AF2" ca="1">IF(Z2="",0,INDEX(データベース!$F$2:$F$5,MATCH(Z2,データベース!$E$2:$E$5,0)))*1000
+IF(AA2="",0,INDEX(データベース!$D$41:$D$44,MATCH(AA2,OFFSET(データベース!$A$41,0,IF(Z2="",0,INDEX(データベース!$F$2:$F$5,MATCH(Z2,データベース!$E$2:$E$5,0)))-1,4,1),0),))*100
+IF(AC2="",0,INDEX(データベース!$D$48:$D$52,MATCH(AC2,OFFSET(データベース!$A$48,0,IF(Z2="",0,INDEX(データベース!$F$2:$F$5,MATCH(Z2,データベース!$E$2:$E$5,0)))-1,5,1),0),))*10
+IF(AE2="",0,INDEX(データベース!$D$56:$D$62,MATCH(AE2,OFFSET(データベース!$A$56,0,IF(Z2="",0,INDEX(データベース!$F$2:$F$5,MATCH(Z2,データベース!$E$2:$E$5,0)))-1,7,1),0),))</f>
        <v>0</v>
      </c>
      <c r="AH2">
        <f>IF(AG2="",0,INDEX(データベース!$H$2:$H$4,MATCH(AG2,データベース!$G$2:$G$4,0)))</f>
        <v>0</v>
      </c>
      <c r="AI2" t="s">
        <v>54</v>
      </c>
      <c r="AJ2">
        <f>IF(AI2="",0,INDEX(データベース!J$2:J$2,MATCH(AI2,データベース!I$2:I$2,0)))</f>
        <v>1</v>
      </c>
      <c r="AL2">
        <f>IF(AK2="",0,INDEX(データベース!L$2:L$3,MATCH(AK2,データベース!K$2:K$3,0)))</f>
        <v>0</v>
      </c>
      <c r="AM2" t="s">
        <v>148</v>
      </c>
      <c r="AN2">
        <f>IF(AM2="",0,INDEX(データベース!N$2:N$5,MATCH(AM2,データベース!M$2:M$5,0)))</f>
        <v>3</v>
      </c>
      <c r="AO2" s="4"/>
      <c r="AP2">
        <f>IF(AO2="",0,INDEX(データベース!P$2:P$3,MATCH(AO2,データベース!O$2:O$3,0)))</f>
        <v>0</v>
      </c>
      <c r="AQ2" t="s">
        <v>149</v>
      </c>
      <c r="AR2">
        <f>IF(AQ2="",0,INDEX(データベース!R$2:R$27,MATCH(AQ2,データベース!Q$2:Q$27,0)))</f>
        <v>20</v>
      </c>
      <c r="AT2">
        <f>IF(AS2="",0,INDEX(データベース!T$2:T$4,MATCH(AS2,データベース!S$2:S$4,0)))</f>
        <v>0</v>
      </c>
      <c r="AV2">
        <f>IF(AU2="",0,INDEX(データベース!V$2:V$37,MATCH(AU2,データベース!U$2:U$37,0)))</f>
        <v>0</v>
      </c>
      <c r="AX2">
        <v>0</v>
      </c>
      <c r="AZ2">
        <v>0</v>
      </c>
      <c r="BB2">
        <v>0</v>
      </c>
    </row>
    <row r="3" spans="1:54">
      <c r="B3">
        <v>0</v>
      </c>
      <c r="C3" t="s">
        <v>117</v>
      </c>
      <c r="E3" s="17" t="s">
        <v>174</v>
      </c>
      <c r="G3">
        <f>IF(F3="",0,INDEX(データベース!D$2:D$4,MATCH(F3,データベース!C$2:C$4,0)))</f>
        <v>0</v>
      </c>
      <c r="J3" s="19" t="str">
        <f t="shared" ref="J3:J66" si="0">"服装・" &amp; H3</f>
        <v>服装・</v>
      </c>
      <c r="L3" s="19" t="str">
        <f t="shared" ref="L3:L66" si="1">"感情・" &amp; H3</f>
        <v>感情・</v>
      </c>
      <c r="N3" s="19" cm="1">
        <f t="array" aca="1" ref="N3" ca="1">IF(H3="",0,INDEX(データベース!$F$2:$F$5,MATCH(H3,データベース!$E$2:$E$5,0)))*1000
+IF(I3="",0,INDEX(データベース!$D$41:$D$44,MATCH(I3,OFFSET(データベース!$A$41,0,IF(H3="",0,INDEX(データベース!$F$2:$F$5,MATCH(H3,データベース!$E$2:$E$5,0)))-1,4,1),0),))*100
+IF(K3="",0,INDEX(データベース!$D$48:$D$52,MATCH(K3,OFFSET(データベース!$A$48,0,IF(H3="",0,INDEX(データベース!$F$2:$F$5,MATCH(H3,データベース!$E$2:$E$5,0)))-1,5,1),0),))*10
+IF(M3="",0,INDEX(データベース!$D$56:$D$62,MATCH(M3,OFFSET(データベース!$A$56,0,IF(H3="",0,INDEX(データベース!$F$2:$F$5,MATCH(H3,データベース!$E$2:$E$5,0)))-1,7,1),0),))</f>
        <v>0</v>
      </c>
      <c r="P3">
        <f>IF(O3="",0,INDEX(データベース!$H$2:$H$4,MATCH(O3,データベース!$G$2:$G$4,0)))</f>
        <v>0</v>
      </c>
      <c r="S3" s="18" t="str">
        <f t="shared" ref="S3:S66" si="2">"服装・" &amp; Q3</f>
        <v>服装・</v>
      </c>
      <c r="U3" s="18" t="str">
        <f t="shared" ref="U3:U66" si="3">"感情・" &amp; Q3</f>
        <v>感情・</v>
      </c>
      <c r="W3" s="18" cm="1">
        <f t="array" aca="1" ref="W3" ca="1">IF(Q3="",0,INDEX(データベース!$F$2:$F$5,MATCH(Q3,データベース!$E$2:$E$5,0)))*1000
+IF(R3="",0,INDEX(データベース!$D$41:$D$44,MATCH(R3,OFFSET(データベース!$A$41,0,IF(Q3="",0,INDEX(データベース!$F$2:$F$5,MATCH(Q3,データベース!$E$2:$E$5,0)))-1,4,1),0),))*100
+IF(T3="",0,INDEX(データベース!$D$48:$D$52,MATCH(T3,OFFSET(データベース!$A$48,0,IF(Q3="",0,INDEX(データベース!$F$2:$F$5,MATCH(Q3,データベース!$E$2:$E$5,0)))-1,5,1),0),))*10
+IF(V3="",0,INDEX(データベース!$D$56:$D$62,MATCH(V3,OFFSET(データベース!$A$56,0,IF(Q3="",0,INDEX(データベース!$F$2:$F$5,MATCH(Q3,データベース!$E$2:$E$5,0)))-1,7,1),0),))</f>
        <v>0</v>
      </c>
      <c r="Y3">
        <f>IF(X3="",0,INDEX(データベース!$H$2:$H$4,MATCH(X3,データベース!$G$2:$G$4,0)))</f>
        <v>0</v>
      </c>
      <c r="AB3" s="9" t="str">
        <f t="shared" ref="AB3:AB66" si="4">"服装・" &amp; Z3</f>
        <v>服装・</v>
      </c>
      <c r="AD3" s="9" t="str">
        <f t="shared" ref="AD3:AD66" si="5">"感情・" &amp; Z3</f>
        <v>感情・</v>
      </c>
      <c r="AF3" s="9" cm="1">
        <f t="array" aca="1" ref="AF3" ca="1">IF(Z3="",0,INDEX(データベース!$F$2:$F$5,MATCH(Z3,データベース!$E$2:$E$5,0)))*1000
+IF(AA3="",0,INDEX(データベース!$D$41:$D$44,MATCH(AA3,OFFSET(データベース!$A$41,0,IF(Z3="",0,INDEX(データベース!$F$2:$F$5,MATCH(Z3,データベース!$E$2:$E$5,0)))-1,4,1),0),))*100
+IF(AC3="",0,INDEX(データベース!$D$48:$D$52,MATCH(AC3,OFFSET(データベース!$A$48,0,IF(Z3="",0,INDEX(データベース!$F$2:$F$5,MATCH(Z3,データベース!$E$2:$E$5,0)))-1,5,1),0),))*10
+IF(AE3="",0,INDEX(データベース!$D$56:$D$62,MATCH(AE3,OFFSET(データベース!$A$56,0,IF(Z3="",0,INDEX(データベース!$F$2:$F$5,MATCH(Z3,データベース!$E$2:$E$5,0)))-1,7,1),0),))</f>
        <v>0</v>
      </c>
      <c r="AH3">
        <f>IF(AG3="",0,INDEX(データベース!$H$2:$H$4,MATCH(AG3,データベース!$G$2:$G$4,0)))</f>
        <v>0</v>
      </c>
      <c r="AJ3">
        <f>IF(AI3="",0,INDEX(データベース!J$2:J$2,MATCH(AI3,データベース!I$2:I$2,0)))</f>
        <v>0</v>
      </c>
      <c r="AL3">
        <f>IF(AK3="",0,INDEX(データベース!L$2:L$3,MATCH(AK3,データベース!K$2:K$3,0)))</f>
        <v>0</v>
      </c>
      <c r="AN3">
        <f>IF(AM3="",0,INDEX(データベース!N$2:N$5,MATCH(AM3,データベース!M$2:M$5,0)))</f>
        <v>0</v>
      </c>
      <c r="AO3" s="4"/>
      <c r="AP3">
        <f>IF(AO3="",0,INDEX(データベース!P$2:P$3,MATCH(AO3,データベース!O$2:O$3,0)))</f>
        <v>0</v>
      </c>
      <c r="AR3">
        <f>IF(AQ3="",0,INDEX(データベース!R$2:R$27,MATCH(AQ3,データベース!Q$2:Q$27,0)))</f>
        <v>0</v>
      </c>
      <c r="AT3">
        <f>IF(AS3="",0,INDEX(データベース!T$2:T$4,MATCH(AS3,データベース!S$2:S$4,0)))</f>
        <v>0</v>
      </c>
      <c r="AV3">
        <f>IF(AU3="",0,INDEX(データベース!V$2:V$37,MATCH(AU3,データベース!U$2:U$37,0)))</f>
        <v>0</v>
      </c>
      <c r="AX3">
        <v>0</v>
      </c>
      <c r="AZ3">
        <v>0</v>
      </c>
      <c r="BB3">
        <v>0</v>
      </c>
    </row>
    <row r="4" spans="1:54">
      <c r="A4" s="2" t="s">
        <v>65</v>
      </c>
      <c r="B4">
        <v>0</v>
      </c>
      <c r="G4">
        <f>IF(F4="",0,INDEX(データベース!D$2:D$4,MATCH(F4,データベース!C$2:C$4,0)))</f>
        <v>0</v>
      </c>
      <c r="J4" s="19" t="str">
        <f t="shared" si="0"/>
        <v>服装・</v>
      </c>
      <c r="L4" s="19" t="str">
        <f t="shared" si="1"/>
        <v>感情・</v>
      </c>
      <c r="N4" s="19" cm="1">
        <f t="array" aca="1" ref="N4" ca="1">IF(H4="",0,INDEX(データベース!$F$2:$F$5,MATCH(H4,データベース!$E$2:$E$5,0)))*1000
+IF(I4="",0,INDEX(データベース!$D$41:$D$44,MATCH(I4,OFFSET(データベース!$A$41,0,IF(H4="",0,INDEX(データベース!$F$2:$F$5,MATCH(H4,データベース!$E$2:$E$5,0)))-1,4,1),0),))*100
+IF(K4="",0,INDEX(データベース!$D$48:$D$52,MATCH(K4,OFFSET(データベース!$A$48,0,IF(H4="",0,INDEX(データベース!$F$2:$F$5,MATCH(H4,データベース!$E$2:$E$5,0)))-1,5,1),0),))*10
+IF(M4="",0,INDEX(データベース!$D$56:$D$62,MATCH(M4,OFFSET(データベース!$A$56,0,IF(H4="",0,INDEX(データベース!$F$2:$F$5,MATCH(H4,データベース!$E$2:$E$5,0)))-1,7,1),0),))</f>
        <v>0</v>
      </c>
      <c r="P4">
        <f>IF(O4="",0,INDEX(データベース!$H$2:$H$4,MATCH(O4,データベース!$G$2:$G$4,0)))</f>
        <v>0</v>
      </c>
      <c r="S4" s="18" t="str">
        <f t="shared" si="2"/>
        <v>服装・</v>
      </c>
      <c r="U4" s="18" t="str">
        <f t="shared" si="3"/>
        <v>感情・</v>
      </c>
      <c r="W4" s="18" cm="1">
        <f t="array" aca="1" ref="W4" ca="1">IF(Q4="",0,INDEX(データベース!$F$2:$F$5,MATCH(Q4,データベース!$E$2:$E$5,0)))*1000
+IF(R4="",0,INDEX(データベース!$D$41:$D$44,MATCH(R4,OFFSET(データベース!$A$41,0,IF(Q4="",0,INDEX(データベース!$F$2:$F$5,MATCH(Q4,データベース!$E$2:$E$5,0)))-1,4,1),0),))*100
+IF(T4="",0,INDEX(データベース!$D$48:$D$52,MATCH(T4,OFFSET(データベース!$A$48,0,IF(Q4="",0,INDEX(データベース!$F$2:$F$5,MATCH(Q4,データベース!$E$2:$E$5,0)))-1,5,1),0),))*10
+IF(V4="",0,INDEX(データベース!$D$56:$D$62,MATCH(V4,OFFSET(データベース!$A$56,0,IF(Q4="",0,INDEX(データベース!$F$2:$F$5,MATCH(Q4,データベース!$E$2:$E$5,0)))-1,7,1),0),))</f>
        <v>0</v>
      </c>
      <c r="Y4">
        <f>IF(X4="",0,INDEX(データベース!$H$2:$H$4,MATCH(X4,データベース!$G$2:$G$4,0)))</f>
        <v>0</v>
      </c>
      <c r="AB4" s="9" t="str">
        <f t="shared" si="4"/>
        <v>服装・</v>
      </c>
      <c r="AD4" s="9" t="str">
        <f t="shared" si="5"/>
        <v>感情・</v>
      </c>
      <c r="AF4" s="9" cm="1">
        <f t="array" aca="1" ref="AF4" ca="1">IF(Z4="",0,INDEX(データベース!$F$2:$F$5,MATCH(Z4,データベース!$E$2:$E$5,0)))*1000
+IF(AA4="",0,INDEX(データベース!$D$41:$D$44,MATCH(AA4,OFFSET(データベース!$A$41,0,IF(Z4="",0,INDEX(データベース!$F$2:$F$5,MATCH(Z4,データベース!$E$2:$E$5,0)))-1,4,1),0),))*100
+IF(AC4="",0,INDEX(データベース!$D$48:$D$52,MATCH(AC4,OFFSET(データベース!$A$48,0,IF(Z4="",0,INDEX(データベース!$F$2:$F$5,MATCH(Z4,データベース!$E$2:$E$5,0)))-1,5,1),0),))*10
+IF(AE4="",0,INDEX(データベース!$D$56:$D$62,MATCH(AE4,OFFSET(データベース!$A$56,0,IF(Z4="",0,INDEX(データベース!$F$2:$F$5,MATCH(Z4,データベース!$E$2:$E$5,0)))-1,7,1),0),))</f>
        <v>0</v>
      </c>
      <c r="AH4">
        <f>IF(AG4="",0,INDEX(データベース!$H$2:$H$4,MATCH(AG4,データベース!$G$2:$G$4,0)))</f>
        <v>0</v>
      </c>
      <c r="AJ4">
        <f>IF(AI4="",0,INDEX(データベース!J$2:J$2,MATCH(AI4,データベース!I$2:I$2,0)))</f>
        <v>0</v>
      </c>
      <c r="AL4">
        <f>IF(AK4="",0,INDEX(データベース!L$2:L$3,MATCH(AK4,データベース!K$2:K$3,0)))</f>
        <v>0</v>
      </c>
      <c r="AN4">
        <f>IF(AM4="",0,INDEX(データベース!N$2:N$5,MATCH(AM4,データベース!M$2:M$5,0)))</f>
        <v>0</v>
      </c>
      <c r="AO4" s="4"/>
      <c r="AP4">
        <f>IF(AO4="",0,INDEX(データベース!P$2:P$3,MATCH(AO4,データベース!O$2:O$3,0)))</f>
        <v>0</v>
      </c>
      <c r="AR4">
        <f>IF(AQ4="",0,INDEX(データベース!R$2:R$27,MATCH(AQ4,データベース!Q$2:Q$27,0)))</f>
        <v>0</v>
      </c>
      <c r="AT4">
        <f>IF(AS4="",0,INDEX(データベース!T$2:T$4,MATCH(AS4,データベース!S$2:S$4,0)))</f>
        <v>0</v>
      </c>
      <c r="AV4">
        <f>IF(AU4="",0,INDEX(データベース!V$2:V$37,MATCH(AU4,データベース!U$2:U$37,0)))</f>
        <v>0</v>
      </c>
      <c r="AX4">
        <v>0</v>
      </c>
      <c r="AZ4">
        <v>0</v>
      </c>
      <c r="BB4">
        <v>0</v>
      </c>
    </row>
    <row r="5" spans="1:54">
      <c r="B5">
        <v>0</v>
      </c>
      <c r="G5">
        <f>IF(F5="",0,INDEX(データベース!D$2:D$4,MATCH(F5,データベース!C$2:C$4,0)))</f>
        <v>0</v>
      </c>
      <c r="J5" s="19" t="str">
        <f t="shared" si="0"/>
        <v>服装・</v>
      </c>
      <c r="L5" s="19" t="str">
        <f t="shared" si="1"/>
        <v>感情・</v>
      </c>
      <c r="N5" s="19" cm="1">
        <f t="array" aca="1" ref="N5" ca="1">IF(H5="",0,INDEX(データベース!$F$2:$F$5,MATCH(H5,データベース!$E$2:$E$5,0)))*1000
+IF(I5="",0,INDEX(データベース!$D$41:$D$44,MATCH(I5,OFFSET(データベース!$A$41,0,IF(H5="",0,INDEX(データベース!$F$2:$F$5,MATCH(H5,データベース!$E$2:$E$5,0)))-1,4,1),0),))*100
+IF(K5="",0,INDEX(データベース!$D$48:$D$52,MATCH(K5,OFFSET(データベース!$A$48,0,IF(H5="",0,INDEX(データベース!$F$2:$F$5,MATCH(H5,データベース!$E$2:$E$5,0)))-1,5,1),0),))*10
+IF(M5="",0,INDEX(データベース!$D$56:$D$62,MATCH(M5,OFFSET(データベース!$A$56,0,IF(H5="",0,INDEX(データベース!$F$2:$F$5,MATCH(H5,データベース!$E$2:$E$5,0)))-1,7,1),0),))</f>
        <v>0</v>
      </c>
      <c r="P5">
        <f>IF(O5="",0,INDEX(データベース!$H$2:$H$4,MATCH(O5,データベース!$G$2:$G$4,0)))</f>
        <v>0</v>
      </c>
      <c r="S5" s="18" t="str">
        <f t="shared" si="2"/>
        <v>服装・</v>
      </c>
      <c r="U5" s="18" t="str">
        <f t="shared" si="3"/>
        <v>感情・</v>
      </c>
      <c r="W5" s="18" cm="1">
        <f t="array" aca="1" ref="W5" ca="1">IF(Q5="",0,INDEX(データベース!$F$2:$F$5,MATCH(Q5,データベース!$E$2:$E$5,0)))*1000
+IF(R5="",0,INDEX(データベース!$D$41:$D$44,MATCH(R5,OFFSET(データベース!$A$41,0,IF(Q5="",0,INDEX(データベース!$F$2:$F$5,MATCH(Q5,データベース!$E$2:$E$5,0)))-1,4,1),0),))*100
+IF(T5="",0,INDEX(データベース!$D$48:$D$52,MATCH(T5,OFFSET(データベース!$A$48,0,IF(Q5="",0,INDEX(データベース!$F$2:$F$5,MATCH(Q5,データベース!$E$2:$E$5,0)))-1,5,1),0),))*10
+IF(V5="",0,INDEX(データベース!$D$56:$D$62,MATCH(V5,OFFSET(データベース!$A$56,0,IF(Q5="",0,INDEX(データベース!$F$2:$F$5,MATCH(Q5,データベース!$E$2:$E$5,0)))-1,7,1),0),))</f>
        <v>0</v>
      </c>
      <c r="Y5">
        <f>IF(X5="",0,INDEX(データベース!$H$2:$H$4,MATCH(X5,データベース!$G$2:$G$4,0)))</f>
        <v>0</v>
      </c>
      <c r="AB5" s="9" t="str">
        <f t="shared" si="4"/>
        <v>服装・</v>
      </c>
      <c r="AD5" s="9" t="str">
        <f t="shared" si="5"/>
        <v>感情・</v>
      </c>
      <c r="AF5" s="9" cm="1">
        <f t="array" aca="1" ref="AF5" ca="1">IF(Z5="",0,INDEX(データベース!$F$2:$F$5,MATCH(Z5,データベース!$E$2:$E$5,0)))*1000
+IF(AA5="",0,INDEX(データベース!$D$41:$D$44,MATCH(AA5,OFFSET(データベース!$A$41,0,IF(Z5="",0,INDEX(データベース!$F$2:$F$5,MATCH(Z5,データベース!$E$2:$E$5,0)))-1,4,1),0),))*100
+IF(AC5="",0,INDEX(データベース!$D$48:$D$52,MATCH(AC5,OFFSET(データベース!$A$48,0,IF(Z5="",0,INDEX(データベース!$F$2:$F$5,MATCH(Z5,データベース!$E$2:$E$5,0)))-1,5,1),0),))*10
+IF(AE5="",0,INDEX(データベース!$D$56:$D$62,MATCH(AE5,OFFSET(データベース!$A$56,0,IF(Z5="",0,INDEX(データベース!$F$2:$F$5,MATCH(Z5,データベース!$E$2:$E$5,0)))-1,7,1),0),))</f>
        <v>0</v>
      </c>
      <c r="AH5">
        <f>IF(AG5="",0,INDEX(データベース!$H$2:$H$4,MATCH(AG5,データベース!$G$2:$G$4,0)))</f>
        <v>0</v>
      </c>
      <c r="AJ5">
        <f>IF(AI5="",0,INDEX(データベース!J$2:J$2,MATCH(AI5,データベース!I$2:I$2,0)))</f>
        <v>0</v>
      </c>
      <c r="AL5">
        <f>IF(AK5="",0,INDEX(データベース!L$2:L$3,MATCH(AK5,データベース!K$2:K$3,0)))</f>
        <v>0</v>
      </c>
      <c r="AN5">
        <f>IF(AM5="",0,INDEX(データベース!N$2:N$5,MATCH(AM5,データベース!M$2:M$5,0)))</f>
        <v>0</v>
      </c>
      <c r="AO5" s="4"/>
      <c r="AP5">
        <f>IF(AO5="",0,INDEX(データベース!P$2:P$3,MATCH(AO5,データベース!O$2:O$3,0)))</f>
        <v>0</v>
      </c>
      <c r="AR5">
        <f>IF(AQ5="",0,INDEX(データベース!R$2:R$27,MATCH(AQ5,データベース!Q$2:Q$27,0)))</f>
        <v>0</v>
      </c>
      <c r="AT5">
        <f>IF(AS5="",0,INDEX(データベース!T$2:T$4,MATCH(AS5,データベース!S$2:S$4,0)))</f>
        <v>0</v>
      </c>
      <c r="AV5">
        <f>IF(AU5="",0,INDEX(データベース!V$2:V$37,MATCH(AU5,データベース!U$2:U$37,0)))</f>
        <v>0</v>
      </c>
      <c r="AX5">
        <v>0</v>
      </c>
      <c r="AZ5">
        <v>0</v>
      </c>
      <c r="BB5">
        <v>0</v>
      </c>
    </row>
    <row r="6" spans="1:54">
      <c r="B6">
        <v>0</v>
      </c>
      <c r="E6" s="17"/>
      <c r="G6">
        <f>IF(F6="",0,INDEX(データベース!D$2:D$4,MATCH(F6,データベース!C$2:C$4,0)))</f>
        <v>0</v>
      </c>
      <c r="J6" s="19" t="str">
        <f t="shared" si="0"/>
        <v>服装・</v>
      </c>
      <c r="L6" s="19" t="str">
        <f t="shared" si="1"/>
        <v>感情・</v>
      </c>
      <c r="N6" s="19" cm="1">
        <f t="array" aca="1" ref="N6" ca="1">IF(H6="",0,INDEX(データベース!$F$2:$F$5,MATCH(H6,データベース!$E$2:$E$5,0)))*1000
+IF(I6="",0,INDEX(データベース!$D$41:$D$44,MATCH(I6,OFFSET(データベース!$A$41,0,IF(H6="",0,INDEX(データベース!$F$2:$F$5,MATCH(H6,データベース!$E$2:$E$5,0)))-1,4,1),0),))*100
+IF(K6="",0,INDEX(データベース!$D$48:$D$52,MATCH(K6,OFFSET(データベース!$A$48,0,IF(H6="",0,INDEX(データベース!$F$2:$F$5,MATCH(H6,データベース!$E$2:$E$5,0)))-1,5,1),0),))*10
+IF(M6="",0,INDEX(データベース!$D$56:$D$62,MATCH(M6,OFFSET(データベース!$A$56,0,IF(H6="",0,INDEX(データベース!$F$2:$F$5,MATCH(H6,データベース!$E$2:$E$5,0)))-1,7,1),0),))</f>
        <v>0</v>
      </c>
      <c r="P6">
        <f>IF(O6="",0,INDEX(データベース!$H$2:$H$4,MATCH(O6,データベース!$G$2:$G$4,0)))</f>
        <v>0</v>
      </c>
      <c r="S6" s="18" t="str">
        <f t="shared" si="2"/>
        <v>服装・</v>
      </c>
      <c r="U6" s="18" t="str">
        <f t="shared" si="3"/>
        <v>感情・</v>
      </c>
      <c r="W6" s="18" cm="1">
        <f t="array" aca="1" ref="W6" ca="1">IF(Q6="",0,INDEX(データベース!$F$2:$F$5,MATCH(Q6,データベース!$E$2:$E$5,0)))*1000
+IF(R6="",0,INDEX(データベース!$D$41:$D$44,MATCH(R6,OFFSET(データベース!$A$41,0,IF(Q6="",0,INDEX(データベース!$F$2:$F$5,MATCH(Q6,データベース!$E$2:$E$5,0)))-1,4,1),0),))*100
+IF(T6="",0,INDEX(データベース!$D$48:$D$52,MATCH(T6,OFFSET(データベース!$A$48,0,IF(Q6="",0,INDEX(データベース!$F$2:$F$5,MATCH(Q6,データベース!$E$2:$E$5,0)))-1,5,1),0),))*10
+IF(V6="",0,INDEX(データベース!$D$56:$D$62,MATCH(V6,OFFSET(データベース!$A$56,0,IF(Q6="",0,INDEX(データベース!$F$2:$F$5,MATCH(Q6,データベース!$E$2:$E$5,0)))-1,7,1),0),))</f>
        <v>0</v>
      </c>
      <c r="Y6">
        <f>IF(X6="",0,INDEX(データベース!$H$2:$H$4,MATCH(X6,データベース!$G$2:$G$4,0)))</f>
        <v>0</v>
      </c>
      <c r="AB6" s="9" t="str">
        <f t="shared" si="4"/>
        <v>服装・</v>
      </c>
      <c r="AD6" s="9" t="str">
        <f t="shared" si="5"/>
        <v>感情・</v>
      </c>
      <c r="AF6" s="9" cm="1">
        <f t="array" aca="1" ref="AF6" ca="1">IF(Z6="",0,INDEX(データベース!$F$2:$F$5,MATCH(Z6,データベース!$E$2:$E$5,0)))*1000
+IF(AA6="",0,INDEX(データベース!$D$41:$D$44,MATCH(AA6,OFFSET(データベース!$A$41,0,IF(Z6="",0,INDEX(データベース!$F$2:$F$5,MATCH(Z6,データベース!$E$2:$E$5,0)))-1,4,1),0),))*100
+IF(AC6="",0,INDEX(データベース!$D$48:$D$52,MATCH(AC6,OFFSET(データベース!$A$48,0,IF(Z6="",0,INDEX(データベース!$F$2:$F$5,MATCH(Z6,データベース!$E$2:$E$5,0)))-1,5,1),0),))*10
+IF(AE6="",0,INDEX(データベース!$D$56:$D$62,MATCH(AE6,OFFSET(データベース!$A$56,0,IF(Z6="",0,INDEX(データベース!$F$2:$F$5,MATCH(Z6,データベース!$E$2:$E$5,0)))-1,7,1),0),))</f>
        <v>0</v>
      </c>
      <c r="AH6">
        <f>IF(AG6="",0,INDEX(データベース!$H$2:$H$4,MATCH(AG6,データベース!$G$2:$G$4,0)))</f>
        <v>0</v>
      </c>
      <c r="AJ6">
        <f>IF(AI6="",0,INDEX(データベース!J$2:J$2,MATCH(AI6,データベース!I$2:I$2,0)))</f>
        <v>0</v>
      </c>
      <c r="AL6">
        <f>IF(AK6="",0,INDEX(データベース!L$2:L$3,MATCH(AK6,データベース!K$2:K$3,0)))</f>
        <v>0</v>
      </c>
      <c r="AN6">
        <f>IF(AM6="",0,INDEX(データベース!N$2:N$5,MATCH(AM6,データベース!M$2:M$5,0)))</f>
        <v>0</v>
      </c>
      <c r="AO6" s="4"/>
      <c r="AP6">
        <f>IF(AO6="",0,INDEX(データベース!P$2:P$3,MATCH(AO6,データベース!O$2:O$3,0)))</f>
        <v>0</v>
      </c>
      <c r="AR6">
        <f>IF(AQ6="",0,INDEX(データベース!R$2:R$27,MATCH(AQ6,データベース!Q$2:Q$27,0)))</f>
        <v>0</v>
      </c>
      <c r="AT6">
        <f>IF(AS6="",0,INDEX(データベース!T$2:T$4,MATCH(AS6,データベース!S$2:S$4,0)))</f>
        <v>0</v>
      </c>
      <c r="AV6">
        <f>IF(AU6="",0,INDEX(データベース!V$2:V$37,MATCH(AU6,データベース!U$2:U$37,0)))</f>
        <v>0</v>
      </c>
      <c r="AX6">
        <v>0</v>
      </c>
      <c r="AZ6">
        <v>0</v>
      </c>
      <c r="BB6">
        <v>0</v>
      </c>
    </row>
    <row r="7" spans="1:54">
      <c r="B7">
        <v>0</v>
      </c>
      <c r="E7" s="17"/>
      <c r="G7">
        <f>IF(F7="",0,INDEX(データベース!D$2:D$4,MATCH(F7,データベース!C$2:C$4,0)))</f>
        <v>0</v>
      </c>
      <c r="J7" s="19" t="str">
        <f t="shared" si="0"/>
        <v>服装・</v>
      </c>
      <c r="L7" s="19" t="str">
        <f t="shared" si="1"/>
        <v>感情・</v>
      </c>
      <c r="N7" s="19" cm="1">
        <f t="array" aca="1" ref="N7" ca="1">IF(H7="",0,INDEX(データベース!$F$2:$F$5,MATCH(H7,データベース!$E$2:$E$5,0)))*1000
+IF(I7="",0,INDEX(データベース!$D$41:$D$44,MATCH(I7,OFFSET(データベース!$A$41,0,IF(H7="",0,INDEX(データベース!$F$2:$F$5,MATCH(H7,データベース!$E$2:$E$5,0)))-1,4,1),0),))*100
+IF(K7="",0,INDEX(データベース!$D$48:$D$52,MATCH(K7,OFFSET(データベース!$A$48,0,IF(H7="",0,INDEX(データベース!$F$2:$F$5,MATCH(H7,データベース!$E$2:$E$5,0)))-1,5,1),0),))*10
+IF(M7="",0,INDEX(データベース!$D$56:$D$62,MATCH(M7,OFFSET(データベース!$A$56,0,IF(H7="",0,INDEX(データベース!$F$2:$F$5,MATCH(H7,データベース!$E$2:$E$5,0)))-1,7,1),0),))</f>
        <v>0</v>
      </c>
      <c r="P7">
        <f>IF(O7="",0,INDEX(データベース!$H$2:$H$4,MATCH(O7,データベース!$G$2:$G$4,0)))</f>
        <v>0</v>
      </c>
      <c r="S7" s="18" t="str">
        <f t="shared" si="2"/>
        <v>服装・</v>
      </c>
      <c r="U7" s="18" t="str">
        <f t="shared" si="3"/>
        <v>感情・</v>
      </c>
      <c r="W7" s="18" cm="1">
        <f t="array" aca="1" ref="W7" ca="1">IF(Q7="",0,INDEX(データベース!$F$2:$F$5,MATCH(Q7,データベース!$E$2:$E$5,0)))*1000
+IF(R7="",0,INDEX(データベース!$D$41:$D$44,MATCH(R7,OFFSET(データベース!$A$41,0,IF(Q7="",0,INDEX(データベース!$F$2:$F$5,MATCH(Q7,データベース!$E$2:$E$5,0)))-1,4,1),0),))*100
+IF(T7="",0,INDEX(データベース!$D$48:$D$52,MATCH(T7,OFFSET(データベース!$A$48,0,IF(Q7="",0,INDEX(データベース!$F$2:$F$5,MATCH(Q7,データベース!$E$2:$E$5,0)))-1,5,1),0),))*10
+IF(V7="",0,INDEX(データベース!$D$56:$D$62,MATCH(V7,OFFSET(データベース!$A$56,0,IF(Q7="",0,INDEX(データベース!$F$2:$F$5,MATCH(Q7,データベース!$E$2:$E$5,0)))-1,7,1),0),))</f>
        <v>0</v>
      </c>
      <c r="Y7">
        <f>IF(X7="",0,INDEX(データベース!$H$2:$H$4,MATCH(X7,データベース!$G$2:$G$4,0)))</f>
        <v>0</v>
      </c>
      <c r="AB7" s="9" t="str">
        <f t="shared" si="4"/>
        <v>服装・</v>
      </c>
      <c r="AD7" s="9" t="str">
        <f t="shared" si="5"/>
        <v>感情・</v>
      </c>
      <c r="AF7" s="9" cm="1">
        <f t="array" aca="1" ref="AF7" ca="1">IF(Z7="",0,INDEX(データベース!$F$2:$F$5,MATCH(Z7,データベース!$E$2:$E$5,0)))*1000
+IF(AA7="",0,INDEX(データベース!$D$41:$D$44,MATCH(AA7,OFFSET(データベース!$A$41,0,IF(Z7="",0,INDEX(データベース!$F$2:$F$5,MATCH(Z7,データベース!$E$2:$E$5,0)))-1,4,1),0),))*100
+IF(AC7="",0,INDEX(データベース!$D$48:$D$52,MATCH(AC7,OFFSET(データベース!$A$48,0,IF(Z7="",0,INDEX(データベース!$F$2:$F$5,MATCH(Z7,データベース!$E$2:$E$5,0)))-1,5,1),0),))*10
+IF(AE7="",0,INDEX(データベース!$D$56:$D$62,MATCH(AE7,OFFSET(データベース!$A$56,0,IF(Z7="",0,INDEX(データベース!$F$2:$F$5,MATCH(Z7,データベース!$E$2:$E$5,0)))-1,7,1),0),))</f>
        <v>0</v>
      </c>
      <c r="AH7">
        <f>IF(AG7="",0,INDEX(データベース!$H$2:$H$4,MATCH(AG7,データベース!$G$2:$G$4,0)))</f>
        <v>0</v>
      </c>
      <c r="AJ7">
        <f>IF(AI7="",0,INDEX(データベース!J$2:J$2,MATCH(AI7,データベース!I$2:I$2,0)))</f>
        <v>0</v>
      </c>
      <c r="AL7">
        <f>IF(AK7="",0,INDEX(データベース!L$2:L$3,MATCH(AK7,データベース!K$2:K$3,0)))</f>
        <v>0</v>
      </c>
      <c r="AN7">
        <f>IF(AM7="",0,INDEX(データベース!N$2:N$5,MATCH(AM7,データベース!M$2:M$5,0)))</f>
        <v>0</v>
      </c>
      <c r="AO7" s="4"/>
      <c r="AP7">
        <f>IF(AO7="",0,INDEX(データベース!P$2:P$3,MATCH(AO7,データベース!O$2:O$3,0)))</f>
        <v>0</v>
      </c>
      <c r="AR7">
        <f>IF(AQ7="",0,INDEX(データベース!R$2:R$27,MATCH(AQ7,データベース!Q$2:Q$27,0)))</f>
        <v>0</v>
      </c>
      <c r="AT7">
        <f>IF(AS7="",0,INDEX(データベース!T$2:T$4,MATCH(AS7,データベース!S$2:S$4,0)))</f>
        <v>0</v>
      </c>
      <c r="AV7">
        <f>IF(AU7="",0,INDEX(データベース!V$2:V$37,MATCH(AU7,データベース!U$2:U$37,0)))</f>
        <v>0</v>
      </c>
      <c r="AX7">
        <v>0</v>
      </c>
      <c r="AZ7">
        <v>0</v>
      </c>
      <c r="BB7">
        <v>0</v>
      </c>
    </row>
    <row r="8" spans="1:54">
      <c r="B8">
        <v>0</v>
      </c>
      <c r="G8">
        <f>IF(F8="",0,INDEX(データベース!D$2:D$4,MATCH(F8,データベース!C$2:C$4,0)))</f>
        <v>0</v>
      </c>
      <c r="J8" s="19" t="str">
        <f t="shared" si="0"/>
        <v>服装・</v>
      </c>
      <c r="L8" s="19" t="str">
        <f t="shared" si="1"/>
        <v>感情・</v>
      </c>
      <c r="N8" s="19" cm="1">
        <f t="array" aca="1" ref="N8" ca="1">IF(H8="",0,INDEX(データベース!$F$2:$F$5,MATCH(H8,データベース!$E$2:$E$5,0)))*1000
+IF(I8="",0,INDEX(データベース!$D$41:$D$44,MATCH(I8,OFFSET(データベース!$A$41,0,IF(H8="",0,INDEX(データベース!$F$2:$F$5,MATCH(H8,データベース!$E$2:$E$5,0)))-1,4,1),0),))*100
+IF(K8="",0,INDEX(データベース!$D$48:$D$52,MATCH(K8,OFFSET(データベース!$A$48,0,IF(H8="",0,INDEX(データベース!$F$2:$F$5,MATCH(H8,データベース!$E$2:$E$5,0)))-1,5,1),0),))*10
+IF(M8="",0,INDEX(データベース!$D$56:$D$62,MATCH(M8,OFFSET(データベース!$A$56,0,IF(H8="",0,INDEX(データベース!$F$2:$F$5,MATCH(H8,データベース!$E$2:$E$5,0)))-1,7,1),0),))</f>
        <v>0</v>
      </c>
      <c r="P8">
        <f>IF(O8="",0,INDEX(データベース!$H$2:$H$4,MATCH(O8,データベース!$G$2:$G$4,0)))</f>
        <v>0</v>
      </c>
      <c r="S8" s="18" t="str">
        <f t="shared" si="2"/>
        <v>服装・</v>
      </c>
      <c r="U8" s="18" t="str">
        <f t="shared" si="3"/>
        <v>感情・</v>
      </c>
      <c r="W8" s="18" cm="1">
        <f t="array" aca="1" ref="W8" ca="1">IF(Q8="",0,INDEX(データベース!$F$2:$F$5,MATCH(Q8,データベース!$E$2:$E$5,0)))*1000
+IF(R8="",0,INDEX(データベース!$D$41:$D$44,MATCH(R8,OFFSET(データベース!$A$41,0,IF(Q8="",0,INDEX(データベース!$F$2:$F$5,MATCH(Q8,データベース!$E$2:$E$5,0)))-1,4,1),0),))*100
+IF(T8="",0,INDEX(データベース!$D$48:$D$52,MATCH(T8,OFFSET(データベース!$A$48,0,IF(Q8="",0,INDEX(データベース!$F$2:$F$5,MATCH(Q8,データベース!$E$2:$E$5,0)))-1,5,1),0),))*10
+IF(V8="",0,INDEX(データベース!$D$56:$D$62,MATCH(V8,OFFSET(データベース!$A$56,0,IF(Q8="",0,INDEX(データベース!$F$2:$F$5,MATCH(Q8,データベース!$E$2:$E$5,0)))-1,7,1),0),))</f>
        <v>0</v>
      </c>
      <c r="Y8">
        <f>IF(X8="",0,INDEX(データベース!$H$2:$H$4,MATCH(X8,データベース!$G$2:$G$4,0)))</f>
        <v>0</v>
      </c>
      <c r="AB8" s="9" t="str">
        <f t="shared" si="4"/>
        <v>服装・</v>
      </c>
      <c r="AD8" s="9" t="str">
        <f t="shared" si="5"/>
        <v>感情・</v>
      </c>
      <c r="AF8" s="9" cm="1">
        <f t="array" aca="1" ref="AF8" ca="1">IF(Z8="",0,INDEX(データベース!$F$2:$F$5,MATCH(Z8,データベース!$E$2:$E$5,0)))*1000
+IF(AA8="",0,INDEX(データベース!$D$41:$D$44,MATCH(AA8,OFFSET(データベース!$A$41,0,IF(Z8="",0,INDEX(データベース!$F$2:$F$5,MATCH(Z8,データベース!$E$2:$E$5,0)))-1,4,1),0),))*100
+IF(AC8="",0,INDEX(データベース!$D$48:$D$52,MATCH(AC8,OFFSET(データベース!$A$48,0,IF(Z8="",0,INDEX(データベース!$F$2:$F$5,MATCH(Z8,データベース!$E$2:$E$5,0)))-1,5,1),0),))*10
+IF(AE8="",0,INDEX(データベース!$D$56:$D$62,MATCH(AE8,OFFSET(データベース!$A$56,0,IF(Z8="",0,INDEX(データベース!$F$2:$F$5,MATCH(Z8,データベース!$E$2:$E$5,0)))-1,7,1),0),))</f>
        <v>0</v>
      </c>
      <c r="AH8">
        <f>IF(AG8="",0,INDEX(データベース!$H$2:$H$4,MATCH(AG8,データベース!$G$2:$G$4,0)))</f>
        <v>0</v>
      </c>
      <c r="AJ8">
        <f>IF(AI8="",0,INDEX(データベース!J$2:J$2,MATCH(AI8,データベース!I$2:I$2,0)))</f>
        <v>0</v>
      </c>
      <c r="AL8">
        <f>IF(AK8="",0,INDEX(データベース!L$2:L$3,MATCH(AK8,データベース!K$2:K$3,0)))</f>
        <v>0</v>
      </c>
      <c r="AN8">
        <f>IF(AM8="",0,INDEX(データベース!N$2:N$5,MATCH(AM8,データベース!M$2:M$5,0)))</f>
        <v>0</v>
      </c>
      <c r="AO8" s="4"/>
      <c r="AP8">
        <f>IF(AO8="",0,INDEX(データベース!P$2:P$3,MATCH(AO8,データベース!O$2:O$3,0)))</f>
        <v>0</v>
      </c>
      <c r="AR8">
        <f>IF(AQ8="",0,INDEX(データベース!R$2:R$27,MATCH(AQ8,データベース!Q$2:Q$27,0)))</f>
        <v>0</v>
      </c>
      <c r="AT8">
        <f>IF(AS8="",0,INDEX(データベース!T$2:T$4,MATCH(AS8,データベース!S$2:S$4,0)))</f>
        <v>0</v>
      </c>
      <c r="AV8">
        <f>IF(AU8="",0,INDEX(データベース!V$2:V$37,MATCH(AU8,データベース!U$2:U$37,0)))</f>
        <v>0</v>
      </c>
      <c r="AX8">
        <v>0</v>
      </c>
      <c r="AZ8">
        <v>0</v>
      </c>
      <c r="BB8">
        <v>0</v>
      </c>
    </row>
    <row r="9" spans="1:54">
      <c r="B9">
        <v>0</v>
      </c>
      <c r="G9">
        <f>IF(F9="",0,INDEX(データベース!D$2:D$4,MATCH(F9,データベース!C$2:C$4,0)))</f>
        <v>0</v>
      </c>
      <c r="J9" s="19" t="str">
        <f t="shared" si="0"/>
        <v>服装・</v>
      </c>
      <c r="L9" s="19" t="str">
        <f t="shared" si="1"/>
        <v>感情・</v>
      </c>
      <c r="N9" s="19" cm="1">
        <f t="array" aca="1" ref="N9" ca="1">IF(H9="",0,INDEX(データベース!$F$2:$F$5,MATCH(H9,データベース!$E$2:$E$5,0)))*1000
+IF(I9="",0,INDEX(データベース!$D$41:$D$44,MATCH(I9,OFFSET(データベース!$A$41,0,IF(H9="",0,INDEX(データベース!$F$2:$F$5,MATCH(H9,データベース!$E$2:$E$5,0)))-1,4,1),0),))*100
+IF(K9="",0,INDEX(データベース!$D$48:$D$52,MATCH(K9,OFFSET(データベース!$A$48,0,IF(H9="",0,INDEX(データベース!$F$2:$F$5,MATCH(H9,データベース!$E$2:$E$5,0)))-1,5,1),0),))*10
+IF(M9="",0,INDEX(データベース!$D$56:$D$62,MATCH(M9,OFFSET(データベース!$A$56,0,IF(H9="",0,INDEX(データベース!$F$2:$F$5,MATCH(H9,データベース!$E$2:$E$5,0)))-1,7,1),0),))</f>
        <v>0</v>
      </c>
      <c r="P9">
        <f>IF(O9="",0,INDEX(データベース!$H$2:$H$4,MATCH(O9,データベース!$G$2:$G$4,0)))</f>
        <v>0</v>
      </c>
      <c r="S9" s="18" t="str">
        <f t="shared" si="2"/>
        <v>服装・</v>
      </c>
      <c r="U9" s="18" t="str">
        <f t="shared" si="3"/>
        <v>感情・</v>
      </c>
      <c r="W9" s="18" cm="1">
        <f t="array" aca="1" ref="W9" ca="1">IF(Q9="",0,INDEX(データベース!$F$2:$F$5,MATCH(Q9,データベース!$E$2:$E$5,0)))*1000
+IF(R9="",0,INDEX(データベース!$D$41:$D$44,MATCH(R9,OFFSET(データベース!$A$41,0,IF(Q9="",0,INDEX(データベース!$F$2:$F$5,MATCH(Q9,データベース!$E$2:$E$5,0)))-1,4,1),0),))*100
+IF(T9="",0,INDEX(データベース!$D$48:$D$52,MATCH(T9,OFFSET(データベース!$A$48,0,IF(Q9="",0,INDEX(データベース!$F$2:$F$5,MATCH(Q9,データベース!$E$2:$E$5,0)))-1,5,1),0),))*10
+IF(V9="",0,INDEX(データベース!$D$56:$D$62,MATCH(V9,OFFSET(データベース!$A$56,0,IF(Q9="",0,INDEX(データベース!$F$2:$F$5,MATCH(Q9,データベース!$E$2:$E$5,0)))-1,7,1),0),))</f>
        <v>0</v>
      </c>
      <c r="Y9">
        <f>IF(X9="",0,INDEX(データベース!$H$2:$H$4,MATCH(X9,データベース!$G$2:$G$4,0)))</f>
        <v>0</v>
      </c>
      <c r="AB9" s="9" t="str">
        <f t="shared" si="4"/>
        <v>服装・</v>
      </c>
      <c r="AD9" s="9" t="str">
        <f t="shared" si="5"/>
        <v>感情・</v>
      </c>
      <c r="AF9" s="9" cm="1">
        <f t="array" aca="1" ref="AF9" ca="1">IF(Z9="",0,INDEX(データベース!$F$2:$F$5,MATCH(Z9,データベース!$E$2:$E$5,0)))*1000
+IF(AA9="",0,INDEX(データベース!$D$41:$D$44,MATCH(AA9,OFFSET(データベース!$A$41,0,IF(Z9="",0,INDEX(データベース!$F$2:$F$5,MATCH(Z9,データベース!$E$2:$E$5,0)))-1,4,1),0),))*100
+IF(AC9="",0,INDEX(データベース!$D$48:$D$52,MATCH(AC9,OFFSET(データベース!$A$48,0,IF(Z9="",0,INDEX(データベース!$F$2:$F$5,MATCH(Z9,データベース!$E$2:$E$5,0)))-1,5,1),0),))*10
+IF(AE9="",0,INDEX(データベース!$D$56:$D$62,MATCH(AE9,OFFSET(データベース!$A$56,0,IF(Z9="",0,INDEX(データベース!$F$2:$F$5,MATCH(Z9,データベース!$E$2:$E$5,0)))-1,7,1),0),))</f>
        <v>0</v>
      </c>
      <c r="AH9">
        <f>IF(AG9="",0,INDEX(データベース!$H$2:$H$4,MATCH(AG9,データベース!$G$2:$G$4,0)))</f>
        <v>0</v>
      </c>
      <c r="AJ9">
        <f>IF(AI9="",0,INDEX(データベース!J$2:J$2,MATCH(AI9,データベース!I$2:I$2,0)))</f>
        <v>0</v>
      </c>
      <c r="AL9">
        <f>IF(AK9="",0,INDEX(データベース!L$2:L$3,MATCH(AK9,データベース!K$2:K$3,0)))</f>
        <v>0</v>
      </c>
      <c r="AN9">
        <f>IF(AM9="",0,INDEX(データベース!N$2:N$5,MATCH(AM9,データベース!M$2:M$5,0)))</f>
        <v>0</v>
      </c>
      <c r="AO9" s="4"/>
      <c r="AP9">
        <f>IF(AO9="",0,INDEX(データベース!P$2:P$3,MATCH(AO9,データベース!O$2:O$3,0)))</f>
        <v>0</v>
      </c>
      <c r="AR9">
        <f>IF(AQ9="",0,INDEX(データベース!R$2:R$27,MATCH(AQ9,データベース!Q$2:Q$27,0)))</f>
        <v>0</v>
      </c>
      <c r="AT9">
        <f>IF(AS9="",0,INDEX(データベース!T$2:T$4,MATCH(AS9,データベース!S$2:S$4,0)))</f>
        <v>0</v>
      </c>
      <c r="AV9">
        <f>IF(AU9="",0,INDEX(データベース!V$2:V$37,MATCH(AU9,データベース!U$2:U$37,0)))</f>
        <v>0</v>
      </c>
      <c r="AX9">
        <v>0</v>
      </c>
      <c r="AZ9">
        <v>0</v>
      </c>
      <c r="BB9">
        <v>0</v>
      </c>
    </row>
    <row r="10" spans="1:54">
      <c r="B10">
        <v>0</v>
      </c>
      <c r="G10">
        <f>IF(F10="",0,INDEX(データベース!D$2:D$4,MATCH(F10,データベース!C$2:C$4,0)))</f>
        <v>0</v>
      </c>
      <c r="J10" s="19" t="str">
        <f t="shared" si="0"/>
        <v>服装・</v>
      </c>
      <c r="L10" s="19" t="str">
        <f t="shared" si="1"/>
        <v>感情・</v>
      </c>
      <c r="N10" s="19" cm="1">
        <f t="array" aca="1" ref="N10" ca="1">IF(H10="",0,INDEX(データベース!$F$2:$F$5,MATCH(H10,データベース!$E$2:$E$5,0)))*1000
+IF(I10="",0,INDEX(データベース!$D$41:$D$44,MATCH(I10,OFFSET(データベース!$A$41,0,IF(H10="",0,INDEX(データベース!$F$2:$F$5,MATCH(H10,データベース!$E$2:$E$5,0)))-1,4,1),0),))*100
+IF(K10="",0,INDEX(データベース!$D$48:$D$52,MATCH(K10,OFFSET(データベース!$A$48,0,IF(H10="",0,INDEX(データベース!$F$2:$F$5,MATCH(H10,データベース!$E$2:$E$5,0)))-1,5,1),0),))*10
+IF(M10="",0,INDEX(データベース!$D$56:$D$62,MATCH(M10,OFFSET(データベース!$A$56,0,IF(H10="",0,INDEX(データベース!$F$2:$F$5,MATCH(H10,データベース!$E$2:$E$5,0)))-1,7,1),0),))</f>
        <v>0</v>
      </c>
      <c r="P10">
        <f>IF(O10="",0,INDEX(データベース!$H$2:$H$4,MATCH(O10,データベース!$G$2:$G$4,0)))</f>
        <v>0</v>
      </c>
      <c r="S10" s="18" t="str">
        <f t="shared" si="2"/>
        <v>服装・</v>
      </c>
      <c r="U10" s="18" t="str">
        <f t="shared" si="3"/>
        <v>感情・</v>
      </c>
      <c r="W10" s="18" cm="1">
        <f t="array" aca="1" ref="W10" ca="1">IF(Q10="",0,INDEX(データベース!$F$2:$F$5,MATCH(Q10,データベース!$E$2:$E$5,0)))*1000
+IF(R10="",0,INDEX(データベース!$D$41:$D$44,MATCH(R10,OFFSET(データベース!$A$41,0,IF(Q10="",0,INDEX(データベース!$F$2:$F$5,MATCH(Q10,データベース!$E$2:$E$5,0)))-1,4,1),0),))*100
+IF(T10="",0,INDEX(データベース!$D$48:$D$52,MATCH(T10,OFFSET(データベース!$A$48,0,IF(Q10="",0,INDEX(データベース!$F$2:$F$5,MATCH(Q10,データベース!$E$2:$E$5,0)))-1,5,1),0),))*10
+IF(V10="",0,INDEX(データベース!$D$56:$D$62,MATCH(V10,OFFSET(データベース!$A$56,0,IF(Q10="",0,INDEX(データベース!$F$2:$F$5,MATCH(Q10,データベース!$E$2:$E$5,0)))-1,7,1),0),))</f>
        <v>0</v>
      </c>
      <c r="Y10">
        <f>IF(X10="",0,INDEX(データベース!$H$2:$H$4,MATCH(X10,データベース!$G$2:$G$4,0)))</f>
        <v>0</v>
      </c>
      <c r="AB10" s="9" t="str">
        <f t="shared" si="4"/>
        <v>服装・</v>
      </c>
      <c r="AD10" s="9" t="str">
        <f t="shared" si="5"/>
        <v>感情・</v>
      </c>
      <c r="AF10" s="9" cm="1">
        <f t="array" aca="1" ref="AF10" ca="1">IF(Z10="",0,INDEX(データベース!$F$2:$F$5,MATCH(Z10,データベース!$E$2:$E$5,0)))*1000
+IF(AA10="",0,INDEX(データベース!$D$41:$D$44,MATCH(AA10,OFFSET(データベース!$A$41,0,IF(Z10="",0,INDEX(データベース!$F$2:$F$5,MATCH(Z10,データベース!$E$2:$E$5,0)))-1,4,1),0),))*100
+IF(AC10="",0,INDEX(データベース!$D$48:$D$52,MATCH(AC10,OFFSET(データベース!$A$48,0,IF(Z10="",0,INDEX(データベース!$F$2:$F$5,MATCH(Z10,データベース!$E$2:$E$5,0)))-1,5,1),0),))*10
+IF(AE10="",0,INDEX(データベース!$D$56:$D$62,MATCH(AE10,OFFSET(データベース!$A$56,0,IF(Z10="",0,INDEX(データベース!$F$2:$F$5,MATCH(Z10,データベース!$E$2:$E$5,0)))-1,7,1),0),))</f>
        <v>0</v>
      </c>
      <c r="AH10">
        <f>IF(AG10="",0,INDEX(データベース!$H$2:$H$4,MATCH(AG10,データベース!$G$2:$G$4,0)))</f>
        <v>0</v>
      </c>
      <c r="AJ10">
        <f>IF(AI10="",0,INDEX(データベース!J$2:J$2,MATCH(AI10,データベース!I$2:I$2,0)))</f>
        <v>0</v>
      </c>
      <c r="AL10">
        <f>IF(AK10="",0,INDEX(データベース!L$2:L$3,MATCH(AK10,データベース!K$2:K$3,0)))</f>
        <v>0</v>
      </c>
      <c r="AN10">
        <f>IF(AM10="",0,INDEX(データベース!N$2:N$5,MATCH(AM10,データベース!M$2:M$5,0)))</f>
        <v>0</v>
      </c>
      <c r="AO10" s="4"/>
      <c r="AP10">
        <f>IF(AO10="",0,INDEX(データベース!P$2:P$3,MATCH(AO10,データベース!O$2:O$3,0)))</f>
        <v>0</v>
      </c>
      <c r="AR10">
        <f>IF(AQ10="",0,INDEX(データベース!R$2:R$27,MATCH(AQ10,データベース!Q$2:Q$27,0)))</f>
        <v>0</v>
      </c>
      <c r="AT10">
        <f>IF(AS10="",0,INDEX(データベース!T$2:T$4,MATCH(AS10,データベース!S$2:S$4,0)))</f>
        <v>0</v>
      </c>
      <c r="AV10">
        <f>IF(AU10="",0,INDEX(データベース!V$2:V$37,MATCH(AU10,データベース!U$2:U$37,0)))</f>
        <v>0</v>
      </c>
      <c r="AX10">
        <v>0</v>
      </c>
      <c r="AZ10">
        <v>0</v>
      </c>
      <c r="BB10">
        <v>0</v>
      </c>
    </row>
    <row r="11" spans="1:54">
      <c r="B11">
        <v>0</v>
      </c>
      <c r="G11">
        <f>IF(F11="",0,INDEX(データベース!D$2:D$4,MATCH(F11,データベース!C$2:C$4,0)))</f>
        <v>0</v>
      </c>
      <c r="J11" s="19" t="str">
        <f t="shared" si="0"/>
        <v>服装・</v>
      </c>
      <c r="L11" s="19" t="str">
        <f t="shared" si="1"/>
        <v>感情・</v>
      </c>
      <c r="N11" s="19" cm="1">
        <f t="array" aca="1" ref="N11" ca="1">IF(H11="",0,INDEX(データベース!$F$2:$F$5,MATCH(H11,データベース!$E$2:$E$5,0)))*1000
+IF(I11="",0,INDEX(データベース!$D$41:$D$44,MATCH(I11,OFFSET(データベース!$A$41,0,IF(H11="",0,INDEX(データベース!$F$2:$F$5,MATCH(H11,データベース!$E$2:$E$5,0)))-1,4,1),0),))*100
+IF(K11="",0,INDEX(データベース!$D$48:$D$52,MATCH(K11,OFFSET(データベース!$A$48,0,IF(H11="",0,INDEX(データベース!$F$2:$F$5,MATCH(H11,データベース!$E$2:$E$5,0)))-1,5,1),0),))*10
+IF(M11="",0,INDEX(データベース!$D$56:$D$62,MATCH(M11,OFFSET(データベース!$A$56,0,IF(H11="",0,INDEX(データベース!$F$2:$F$5,MATCH(H11,データベース!$E$2:$E$5,0)))-1,7,1),0),))</f>
        <v>0</v>
      </c>
      <c r="P11">
        <f>IF(O11="",0,INDEX(データベース!$H$2:$H$4,MATCH(O11,データベース!$G$2:$G$4,0)))</f>
        <v>0</v>
      </c>
      <c r="S11" s="18" t="str">
        <f t="shared" si="2"/>
        <v>服装・</v>
      </c>
      <c r="U11" s="18" t="str">
        <f t="shared" si="3"/>
        <v>感情・</v>
      </c>
      <c r="W11" s="18" cm="1">
        <f t="array" aca="1" ref="W11" ca="1">IF(Q11="",0,INDEX(データベース!$F$2:$F$5,MATCH(Q11,データベース!$E$2:$E$5,0)))*1000
+IF(R11="",0,INDEX(データベース!$D$41:$D$44,MATCH(R11,OFFSET(データベース!$A$41,0,IF(Q11="",0,INDEX(データベース!$F$2:$F$5,MATCH(Q11,データベース!$E$2:$E$5,0)))-1,4,1),0),))*100
+IF(T11="",0,INDEX(データベース!$D$48:$D$52,MATCH(T11,OFFSET(データベース!$A$48,0,IF(Q11="",0,INDEX(データベース!$F$2:$F$5,MATCH(Q11,データベース!$E$2:$E$5,0)))-1,5,1),0),))*10
+IF(V11="",0,INDEX(データベース!$D$56:$D$62,MATCH(V11,OFFSET(データベース!$A$56,0,IF(Q11="",0,INDEX(データベース!$F$2:$F$5,MATCH(Q11,データベース!$E$2:$E$5,0)))-1,7,1),0),))</f>
        <v>0</v>
      </c>
      <c r="Y11">
        <f>IF(X11="",0,INDEX(データベース!$H$2:$H$4,MATCH(X11,データベース!$G$2:$G$4,0)))</f>
        <v>0</v>
      </c>
      <c r="AB11" s="9" t="str">
        <f t="shared" si="4"/>
        <v>服装・</v>
      </c>
      <c r="AD11" s="9" t="str">
        <f t="shared" si="5"/>
        <v>感情・</v>
      </c>
      <c r="AF11" s="9" cm="1">
        <f t="array" aca="1" ref="AF11" ca="1">IF(Z11="",0,INDEX(データベース!$F$2:$F$5,MATCH(Z11,データベース!$E$2:$E$5,0)))*1000
+IF(AA11="",0,INDEX(データベース!$D$41:$D$44,MATCH(AA11,OFFSET(データベース!$A$41,0,IF(Z11="",0,INDEX(データベース!$F$2:$F$5,MATCH(Z11,データベース!$E$2:$E$5,0)))-1,4,1),0),))*100
+IF(AC11="",0,INDEX(データベース!$D$48:$D$52,MATCH(AC11,OFFSET(データベース!$A$48,0,IF(Z11="",0,INDEX(データベース!$F$2:$F$5,MATCH(Z11,データベース!$E$2:$E$5,0)))-1,5,1),0),))*10
+IF(AE11="",0,INDEX(データベース!$D$56:$D$62,MATCH(AE11,OFFSET(データベース!$A$56,0,IF(Z11="",0,INDEX(データベース!$F$2:$F$5,MATCH(Z11,データベース!$E$2:$E$5,0)))-1,7,1),0),))</f>
        <v>0</v>
      </c>
      <c r="AH11">
        <f>IF(AG11="",0,INDEX(データベース!$H$2:$H$4,MATCH(AG11,データベース!$G$2:$G$4,0)))</f>
        <v>0</v>
      </c>
      <c r="AJ11">
        <f>IF(AI11="",0,INDEX(データベース!J$2:J$2,MATCH(AI11,データベース!I$2:I$2,0)))</f>
        <v>0</v>
      </c>
      <c r="AL11">
        <f>IF(AK11="",0,INDEX(データベース!L$2:L$3,MATCH(AK11,データベース!K$2:K$3,0)))</f>
        <v>0</v>
      </c>
      <c r="AN11">
        <f>IF(AM11="",0,INDEX(データベース!N$2:N$5,MATCH(AM11,データベース!M$2:M$5,0)))</f>
        <v>0</v>
      </c>
      <c r="AO11" s="4"/>
      <c r="AP11">
        <f>IF(AO11="",0,INDEX(データベース!P$2:P$3,MATCH(AO11,データベース!O$2:O$3,0)))</f>
        <v>0</v>
      </c>
      <c r="AR11">
        <f>IF(AQ11="",0,INDEX(データベース!R$2:R$27,MATCH(AQ11,データベース!Q$2:Q$27,0)))</f>
        <v>0</v>
      </c>
      <c r="AT11">
        <f>IF(AS11="",0,INDEX(データベース!T$2:T$4,MATCH(AS11,データベース!S$2:S$4,0)))</f>
        <v>0</v>
      </c>
      <c r="AV11">
        <f>IF(AU11="",0,INDEX(データベース!V$2:V$37,MATCH(AU11,データベース!U$2:U$37,0)))</f>
        <v>0</v>
      </c>
      <c r="AX11">
        <v>0</v>
      </c>
      <c r="AZ11">
        <v>0</v>
      </c>
      <c r="BB11">
        <v>0</v>
      </c>
    </row>
    <row r="12" spans="1:54">
      <c r="B12">
        <v>0</v>
      </c>
      <c r="G12">
        <f>IF(F12="",0,INDEX(データベース!D$2:D$4,MATCH(F12,データベース!C$2:C$4,0)))</f>
        <v>0</v>
      </c>
      <c r="J12" s="19" t="str">
        <f t="shared" si="0"/>
        <v>服装・</v>
      </c>
      <c r="L12" s="19" t="str">
        <f t="shared" si="1"/>
        <v>感情・</v>
      </c>
      <c r="N12" s="19" cm="1">
        <f t="array" aca="1" ref="N12" ca="1">IF(H12="",0,INDEX(データベース!$F$2:$F$5,MATCH(H12,データベース!$E$2:$E$5,0)))*1000
+IF(I12="",0,INDEX(データベース!$D$41:$D$44,MATCH(I12,OFFSET(データベース!$A$41,0,IF(H12="",0,INDEX(データベース!$F$2:$F$5,MATCH(H12,データベース!$E$2:$E$5,0)))-1,4,1),0),))*100
+IF(K12="",0,INDEX(データベース!$D$48:$D$52,MATCH(K12,OFFSET(データベース!$A$48,0,IF(H12="",0,INDEX(データベース!$F$2:$F$5,MATCH(H12,データベース!$E$2:$E$5,0)))-1,5,1),0),))*10
+IF(M12="",0,INDEX(データベース!$D$56:$D$62,MATCH(M12,OFFSET(データベース!$A$56,0,IF(H12="",0,INDEX(データベース!$F$2:$F$5,MATCH(H12,データベース!$E$2:$E$5,0)))-1,7,1),0),))</f>
        <v>0</v>
      </c>
      <c r="P12">
        <f>IF(O12="",0,INDEX(データベース!$H$2:$H$4,MATCH(O12,データベース!$G$2:$G$4,0)))</f>
        <v>0</v>
      </c>
      <c r="S12" s="18" t="str">
        <f t="shared" si="2"/>
        <v>服装・</v>
      </c>
      <c r="U12" s="18" t="str">
        <f t="shared" si="3"/>
        <v>感情・</v>
      </c>
      <c r="W12" s="18" cm="1">
        <f t="array" aca="1" ref="W12" ca="1">IF(Q12="",0,INDEX(データベース!$F$2:$F$5,MATCH(Q12,データベース!$E$2:$E$5,0)))*1000
+IF(R12="",0,INDEX(データベース!$D$41:$D$44,MATCH(R12,OFFSET(データベース!$A$41,0,IF(Q12="",0,INDEX(データベース!$F$2:$F$5,MATCH(Q12,データベース!$E$2:$E$5,0)))-1,4,1),0),))*100
+IF(T12="",0,INDEX(データベース!$D$48:$D$52,MATCH(T12,OFFSET(データベース!$A$48,0,IF(Q12="",0,INDEX(データベース!$F$2:$F$5,MATCH(Q12,データベース!$E$2:$E$5,0)))-1,5,1),0),))*10
+IF(V12="",0,INDEX(データベース!$D$56:$D$62,MATCH(V12,OFFSET(データベース!$A$56,0,IF(Q12="",0,INDEX(データベース!$F$2:$F$5,MATCH(Q12,データベース!$E$2:$E$5,0)))-1,7,1),0),))</f>
        <v>0</v>
      </c>
      <c r="Y12">
        <f>IF(X12="",0,INDEX(データベース!$H$2:$H$4,MATCH(X12,データベース!$G$2:$G$4,0)))</f>
        <v>0</v>
      </c>
      <c r="AB12" s="9" t="str">
        <f t="shared" si="4"/>
        <v>服装・</v>
      </c>
      <c r="AD12" s="9" t="str">
        <f t="shared" si="5"/>
        <v>感情・</v>
      </c>
      <c r="AF12" s="9" cm="1">
        <f t="array" aca="1" ref="AF12" ca="1">IF(Z12="",0,INDEX(データベース!$F$2:$F$5,MATCH(Z12,データベース!$E$2:$E$5,0)))*1000
+IF(AA12="",0,INDEX(データベース!$D$41:$D$44,MATCH(AA12,OFFSET(データベース!$A$41,0,IF(Z12="",0,INDEX(データベース!$F$2:$F$5,MATCH(Z12,データベース!$E$2:$E$5,0)))-1,4,1),0),))*100
+IF(AC12="",0,INDEX(データベース!$D$48:$D$52,MATCH(AC12,OFFSET(データベース!$A$48,0,IF(Z12="",0,INDEX(データベース!$F$2:$F$5,MATCH(Z12,データベース!$E$2:$E$5,0)))-1,5,1),0),))*10
+IF(AE12="",0,INDEX(データベース!$D$56:$D$62,MATCH(AE12,OFFSET(データベース!$A$56,0,IF(Z12="",0,INDEX(データベース!$F$2:$F$5,MATCH(Z12,データベース!$E$2:$E$5,0)))-1,7,1),0),))</f>
        <v>0</v>
      </c>
      <c r="AH12">
        <f>IF(AG12="",0,INDEX(データベース!$H$2:$H$4,MATCH(AG12,データベース!$G$2:$G$4,0)))</f>
        <v>0</v>
      </c>
      <c r="AJ12">
        <f>IF(AI12="",0,INDEX(データベース!J$2:J$2,MATCH(AI12,データベース!I$2:I$2,0)))</f>
        <v>0</v>
      </c>
      <c r="AL12">
        <f>IF(AK12="",0,INDEX(データベース!L$2:L$3,MATCH(AK12,データベース!K$2:K$3,0)))</f>
        <v>0</v>
      </c>
      <c r="AN12">
        <f>IF(AM12="",0,INDEX(データベース!N$2:N$5,MATCH(AM12,データベース!M$2:M$5,0)))</f>
        <v>0</v>
      </c>
      <c r="AO12" s="4"/>
      <c r="AP12">
        <f>IF(AO12="",0,INDEX(データベース!P$2:P$3,MATCH(AO12,データベース!O$2:O$3,0)))</f>
        <v>0</v>
      </c>
      <c r="AR12">
        <f>IF(AQ12="",0,INDEX(データベース!R$2:R$27,MATCH(AQ12,データベース!Q$2:Q$27,0)))</f>
        <v>0</v>
      </c>
      <c r="AT12">
        <f>IF(AS12="",0,INDEX(データベース!T$2:T$4,MATCH(AS12,データベース!S$2:S$4,0)))</f>
        <v>0</v>
      </c>
      <c r="AV12">
        <f>IF(AU12="",0,INDEX(データベース!V$2:V$37,MATCH(AU12,データベース!U$2:U$37,0)))</f>
        <v>0</v>
      </c>
      <c r="AX12">
        <v>0</v>
      </c>
      <c r="AZ12">
        <v>0</v>
      </c>
      <c r="BB12">
        <v>0</v>
      </c>
    </row>
    <row r="13" spans="1:54">
      <c r="B13">
        <v>0</v>
      </c>
      <c r="G13">
        <f>IF(F13="",0,INDEX(データベース!D$2:D$4,MATCH(F13,データベース!C$2:C$4,0)))</f>
        <v>0</v>
      </c>
      <c r="J13" s="19" t="str">
        <f t="shared" si="0"/>
        <v>服装・</v>
      </c>
      <c r="L13" s="19" t="str">
        <f t="shared" si="1"/>
        <v>感情・</v>
      </c>
      <c r="N13" s="19" cm="1">
        <f t="array" aca="1" ref="N13" ca="1">IF(H13="",0,INDEX(データベース!$F$2:$F$5,MATCH(H13,データベース!$E$2:$E$5,0)))*1000
+IF(I13="",0,INDEX(データベース!$D$41:$D$44,MATCH(I13,OFFSET(データベース!$A$41,0,IF(H13="",0,INDEX(データベース!$F$2:$F$5,MATCH(H13,データベース!$E$2:$E$5,0)))-1,4,1),0),))*100
+IF(K13="",0,INDEX(データベース!$D$48:$D$52,MATCH(K13,OFFSET(データベース!$A$48,0,IF(H13="",0,INDEX(データベース!$F$2:$F$5,MATCH(H13,データベース!$E$2:$E$5,0)))-1,5,1),0),))*10
+IF(M13="",0,INDEX(データベース!$D$56:$D$62,MATCH(M13,OFFSET(データベース!$A$56,0,IF(H13="",0,INDEX(データベース!$F$2:$F$5,MATCH(H13,データベース!$E$2:$E$5,0)))-1,7,1),0),))</f>
        <v>0</v>
      </c>
      <c r="P13">
        <f>IF(O13="",0,INDEX(データベース!$H$2:$H$4,MATCH(O13,データベース!$G$2:$G$4,0)))</f>
        <v>0</v>
      </c>
      <c r="S13" s="18" t="str">
        <f t="shared" si="2"/>
        <v>服装・</v>
      </c>
      <c r="U13" s="18" t="str">
        <f t="shared" si="3"/>
        <v>感情・</v>
      </c>
      <c r="W13" s="18" cm="1">
        <f t="array" aca="1" ref="W13" ca="1">IF(Q13="",0,INDEX(データベース!$F$2:$F$5,MATCH(Q13,データベース!$E$2:$E$5,0)))*1000
+IF(R13="",0,INDEX(データベース!$D$41:$D$44,MATCH(R13,OFFSET(データベース!$A$41,0,IF(Q13="",0,INDEX(データベース!$F$2:$F$5,MATCH(Q13,データベース!$E$2:$E$5,0)))-1,4,1),0),))*100
+IF(T13="",0,INDEX(データベース!$D$48:$D$52,MATCH(T13,OFFSET(データベース!$A$48,0,IF(Q13="",0,INDEX(データベース!$F$2:$F$5,MATCH(Q13,データベース!$E$2:$E$5,0)))-1,5,1),0),))*10
+IF(V13="",0,INDEX(データベース!$D$56:$D$62,MATCH(V13,OFFSET(データベース!$A$56,0,IF(Q13="",0,INDEX(データベース!$F$2:$F$5,MATCH(Q13,データベース!$E$2:$E$5,0)))-1,7,1),0),))</f>
        <v>0</v>
      </c>
      <c r="Y13">
        <f>IF(X13="",0,INDEX(データベース!$H$2:$H$4,MATCH(X13,データベース!$G$2:$G$4,0)))</f>
        <v>0</v>
      </c>
      <c r="AB13" s="9" t="str">
        <f t="shared" si="4"/>
        <v>服装・</v>
      </c>
      <c r="AD13" s="9" t="str">
        <f t="shared" si="5"/>
        <v>感情・</v>
      </c>
      <c r="AF13" s="9" cm="1">
        <f t="array" aca="1" ref="AF13" ca="1">IF(Z13="",0,INDEX(データベース!$F$2:$F$5,MATCH(Z13,データベース!$E$2:$E$5,0)))*1000
+IF(AA13="",0,INDEX(データベース!$D$41:$D$44,MATCH(AA13,OFFSET(データベース!$A$41,0,IF(Z13="",0,INDEX(データベース!$F$2:$F$5,MATCH(Z13,データベース!$E$2:$E$5,0)))-1,4,1),0),))*100
+IF(AC13="",0,INDEX(データベース!$D$48:$D$52,MATCH(AC13,OFFSET(データベース!$A$48,0,IF(Z13="",0,INDEX(データベース!$F$2:$F$5,MATCH(Z13,データベース!$E$2:$E$5,0)))-1,5,1),0),))*10
+IF(AE13="",0,INDEX(データベース!$D$56:$D$62,MATCH(AE13,OFFSET(データベース!$A$56,0,IF(Z13="",0,INDEX(データベース!$F$2:$F$5,MATCH(Z13,データベース!$E$2:$E$5,0)))-1,7,1),0),))</f>
        <v>0</v>
      </c>
      <c r="AH13">
        <f>IF(AG13="",0,INDEX(データベース!$H$2:$H$4,MATCH(AG13,データベース!$G$2:$G$4,0)))</f>
        <v>0</v>
      </c>
      <c r="AJ13">
        <f>IF(AI13="",0,INDEX(データベース!J$2:J$2,MATCH(AI13,データベース!I$2:I$2,0)))</f>
        <v>0</v>
      </c>
      <c r="AL13">
        <f>IF(AK13="",0,INDEX(データベース!L$2:L$3,MATCH(AK13,データベース!K$2:K$3,0)))</f>
        <v>0</v>
      </c>
      <c r="AN13">
        <f>IF(AM13="",0,INDEX(データベース!N$2:N$5,MATCH(AM13,データベース!M$2:M$5,0)))</f>
        <v>0</v>
      </c>
      <c r="AO13" s="4"/>
      <c r="AP13">
        <f>IF(AO13="",0,INDEX(データベース!P$2:P$3,MATCH(AO13,データベース!O$2:O$3,0)))</f>
        <v>0</v>
      </c>
      <c r="AR13">
        <f>IF(AQ13="",0,INDEX(データベース!R$2:R$27,MATCH(AQ13,データベース!Q$2:Q$27,0)))</f>
        <v>0</v>
      </c>
      <c r="AT13">
        <f>IF(AS13="",0,INDEX(データベース!T$2:T$4,MATCH(AS13,データベース!S$2:S$4,0)))</f>
        <v>0</v>
      </c>
      <c r="AV13">
        <f>IF(AU13="",0,INDEX(データベース!V$2:V$37,MATCH(AU13,データベース!U$2:U$37,0)))</f>
        <v>0</v>
      </c>
      <c r="AX13">
        <v>0</v>
      </c>
      <c r="AZ13">
        <v>0</v>
      </c>
      <c r="BB13">
        <v>0</v>
      </c>
    </row>
    <row r="14" spans="1:54">
      <c r="B14">
        <v>0</v>
      </c>
      <c r="G14">
        <f>IF(F14="",0,INDEX(データベース!D$2:D$4,MATCH(F14,データベース!C$2:C$4,0)))</f>
        <v>0</v>
      </c>
      <c r="J14" s="19" t="str">
        <f t="shared" si="0"/>
        <v>服装・</v>
      </c>
      <c r="L14" s="19" t="str">
        <f t="shared" si="1"/>
        <v>感情・</v>
      </c>
      <c r="N14" s="19" cm="1">
        <f t="array" aca="1" ref="N14" ca="1">IF(H14="",0,INDEX(データベース!$F$2:$F$5,MATCH(H14,データベース!$E$2:$E$5,0)))*1000
+IF(I14="",0,INDEX(データベース!$D$41:$D$44,MATCH(I14,OFFSET(データベース!$A$41,0,IF(H14="",0,INDEX(データベース!$F$2:$F$5,MATCH(H14,データベース!$E$2:$E$5,0)))-1,4,1),0),))*100
+IF(K14="",0,INDEX(データベース!$D$48:$D$52,MATCH(K14,OFFSET(データベース!$A$48,0,IF(H14="",0,INDEX(データベース!$F$2:$F$5,MATCH(H14,データベース!$E$2:$E$5,0)))-1,5,1),0),))*10
+IF(M14="",0,INDEX(データベース!$D$56:$D$62,MATCH(M14,OFFSET(データベース!$A$56,0,IF(H14="",0,INDEX(データベース!$F$2:$F$5,MATCH(H14,データベース!$E$2:$E$5,0)))-1,7,1),0),))</f>
        <v>0</v>
      </c>
      <c r="P14">
        <f>IF(O14="",0,INDEX(データベース!$H$2:$H$4,MATCH(O14,データベース!$G$2:$G$4,0)))</f>
        <v>0</v>
      </c>
      <c r="S14" s="18" t="str">
        <f t="shared" si="2"/>
        <v>服装・</v>
      </c>
      <c r="U14" s="18" t="str">
        <f t="shared" si="3"/>
        <v>感情・</v>
      </c>
      <c r="W14" s="18" cm="1">
        <f t="array" aca="1" ref="W14" ca="1">IF(Q14="",0,INDEX(データベース!$F$2:$F$5,MATCH(Q14,データベース!$E$2:$E$5,0)))*1000
+IF(R14="",0,INDEX(データベース!$D$41:$D$44,MATCH(R14,OFFSET(データベース!$A$41,0,IF(Q14="",0,INDEX(データベース!$F$2:$F$5,MATCH(Q14,データベース!$E$2:$E$5,0)))-1,4,1),0),))*100
+IF(T14="",0,INDEX(データベース!$D$48:$D$52,MATCH(T14,OFFSET(データベース!$A$48,0,IF(Q14="",0,INDEX(データベース!$F$2:$F$5,MATCH(Q14,データベース!$E$2:$E$5,0)))-1,5,1),0),))*10
+IF(V14="",0,INDEX(データベース!$D$56:$D$62,MATCH(V14,OFFSET(データベース!$A$56,0,IF(Q14="",0,INDEX(データベース!$F$2:$F$5,MATCH(Q14,データベース!$E$2:$E$5,0)))-1,7,1),0),))</f>
        <v>0</v>
      </c>
      <c r="Y14">
        <f>IF(X14="",0,INDEX(データベース!$H$2:$H$4,MATCH(X14,データベース!$G$2:$G$4,0)))</f>
        <v>0</v>
      </c>
      <c r="AB14" s="9" t="str">
        <f t="shared" si="4"/>
        <v>服装・</v>
      </c>
      <c r="AD14" s="9" t="str">
        <f t="shared" si="5"/>
        <v>感情・</v>
      </c>
      <c r="AF14" s="9" cm="1">
        <f t="array" aca="1" ref="AF14" ca="1">IF(Z14="",0,INDEX(データベース!$F$2:$F$5,MATCH(Z14,データベース!$E$2:$E$5,0)))*1000
+IF(AA14="",0,INDEX(データベース!$D$41:$D$44,MATCH(AA14,OFFSET(データベース!$A$41,0,IF(Z14="",0,INDEX(データベース!$F$2:$F$5,MATCH(Z14,データベース!$E$2:$E$5,0)))-1,4,1),0),))*100
+IF(AC14="",0,INDEX(データベース!$D$48:$D$52,MATCH(AC14,OFFSET(データベース!$A$48,0,IF(Z14="",0,INDEX(データベース!$F$2:$F$5,MATCH(Z14,データベース!$E$2:$E$5,0)))-1,5,1),0),))*10
+IF(AE14="",0,INDEX(データベース!$D$56:$D$62,MATCH(AE14,OFFSET(データベース!$A$56,0,IF(Z14="",0,INDEX(データベース!$F$2:$F$5,MATCH(Z14,データベース!$E$2:$E$5,0)))-1,7,1),0),))</f>
        <v>0</v>
      </c>
      <c r="AH14">
        <f>IF(AG14="",0,INDEX(データベース!$H$2:$H$4,MATCH(AG14,データベース!$G$2:$G$4,0)))</f>
        <v>0</v>
      </c>
      <c r="AJ14">
        <f>IF(AI14="",0,INDEX(データベース!J$2:J$2,MATCH(AI14,データベース!I$2:I$2,0)))</f>
        <v>0</v>
      </c>
      <c r="AL14">
        <f>IF(AK14="",0,INDEX(データベース!L$2:L$3,MATCH(AK14,データベース!K$2:K$3,0)))</f>
        <v>0</v>
      </c>
      <c r="AN14">
        <f>IF(AM14="",0,INDEX(データベース!N$2:N$5,MATCH(AM14,データベース!M$2:M$5,0)))</f>
        <v>0</v>
      </c>
      <c r="AO14" s="4"/>
      <c r="AP14">
        <f>IF(AO14="",0,INDEX(データベース!P$2:P$3,MATCH(AO14,データベース!O$2:O$3,0)))</f>
        <v>0</v>
      </c>
      <c r="AR14">
        <f>IF(AQ14="",0,INDEX(データベース!R$2:R$27,MATCH(AQ14,データベース!Q$2:Q$27,0)))</f>
        <v>0</v>
      </c>
      <c r="AT14">
        <f>IF(AS14="",0,INDEX(データベース!T$2:T$4,MATCH(AS14,データベース!S$2:S$4,0)))</f>
        <v>0</v>
      </c>
      <c r="AV14">
        <f>IF(AU14="",0,INDEX(データベース!V$2:V$37,MATCH(AU14,データベース!U$2:U$37,0)))</f>
        <v>0</v>
      </c>
      <c r="AX14">
        <v>0</v>
      </c>
      <c r="AZ14">
        <v>0</v>
      </c>
      <c r="BB14">
        <v>0</v>
      </c>
    </row>
    <row r="15" spans="1:54">
      <c r="B15">
        <v>0</v>
      </c>
      <c r="G15">
        <f>IF(F15="",0,INDEX(データベース!D$2:D$4,MATCH(F15,データベース!C$2:C$4,0)))</f>
        <v>0</v>
      </c>
      <c r="J15" s="19" t="str">
        <f t="shared" si="0"/>
        <v>服装・</v>
      </c>
      <c r="L15" s="19" t="str">
        <f t="shared" si="1"/>
        <v>感情・</v>
      </c>
      <c r="N15" s="19" cm="1">
        <f t="array" aca="1" ref="N15" ca="1">IF(H15="",0,INDEX(データベース!$F$2:$F$5,MATCH(H15,データベース!$E$2:$E$5,0)))*1000
+IF(I15="",0,INDEX(データベース!$D$41:$D$44,MATCH(I15,OFFSET(データベース!$A$41,0,IF(H15="",0,INDEX(データベース!$F$2:$F$5,MATCH(H15,データベース!$E$2:$E$5,0)))-1,4,1),0),))*100
+IF(K15="",0,INDEX(データベース!$D$48:$D$52,MATCH(K15,OFFSET(データベース!$A$48,0,IF(H15="",0,INDEX(データベース!$F$2:$F$5,MATCH(H15,データベース!$E$2:$E$5,0)))-1,5,1),0),))*10
+IF(M15="",0,INDEX(データベース!$D$56:$D$62,MATCH(M15,OFFSET(データベース!$A$56,0,IF(H15="",0,INDEX(データベース!$F$2:$F$5,MATCH(H15,データベース!$E$2:$E$5,0)))-1,7,1),0),))</f>
        <v>0</v>
      </c>
      <c r="P15">
        <f>IF(O15="",0,INDEX(データベース!$H$2:$H$4,MATCH(O15,データベース!$G$2:$G$4,0)))</f>
        <v>0</v>
      </c>
      <c r="S15" s="18" t="str">
        <f t="shared" si="2"/>
        <v>服装・</v>
      </c>
      <c r="U15" s="18" t="str">
        <f t="shared" si="3"/>
        <v>感情・</v>
      </c>
      <c r="W15" s="18" cm="1">
        <f t="array" aca="1" ref="W15" ca="1">IF(Q15="",0,INDEX(データベース!$F$2:$F$5,MATCH(Q15,データベース!$E$2:$E$5,0)))*1000
+IF(R15="",0,INDEX(データベース!$D$41:$D$44,MATCH(R15,OFFSET(データベース!$A$41,0,IF(Q15="",0,INDEX(データベース!$F$2:$F$5,MATCH(Q15,データベース!$E$2:$E$5,0)))-1,4,1),0),))*100
+IF(T15="",0,INDEX(データベース!$D$48:$D$52,MATCH(T15,OFFSET(データベース!$A$48,0,IF(Q15="",0,INDEX(データベース!$F$2:$F$5,MATCH(Q15,データベース!$E$2:$E$5,0)))-1,5,1),0),))*10
+IF(V15="",0,INDEX(データベース!$D$56:$D$62,MATCH(V15,OFFSET(データベース!$A$56,0,IF(Q15="",0,INDEX(データベース!$F$2:$F$5,MATCH(Q15,データベース!$E$2:$E$5,0)))-1,7,1),0),))</f>
        <v>0</v>
      </c>
      <c r="Y15">
        <f>IF(X15="",0,INDEX(データベース!$H$2:$H$4,MATCH(X15,データベース!$G$2:$G$4,0)))</f>
        <v>0</v>
      </c>
      <c r="AB15" s="9" t="str">
        <f t="shared" si="4"/>
        <v>服装・</v>
      </c>
      <c r="AD15" s="9" t="str">
        <f t="shared" si="5"/>
        <v>感情・</v>
      </c>
      <c r="AF15" s="9" cm="1">
        <f t="array" aca="1" ref="AF15" ca="1">IF(Z15="",0,INDEX(データベース!$F$2:$F$5,MATCH(Z15,データベース!$E$2:$E$5,0)))*1000
+IF(AA15="",0,INDEX(データベース!$D$41:$D$44,MATCH(AA15,OFFSET(データベース!$A$41,0,IF(Z15="",0,INDEX(データベース!$F$2:$F$5,MATCH(Z15,データベース!$E$2:$E$5,0)))-1,4,1),0),))*100
+IF(AC15="",0,INDEX(データベース!$D$48:$D$52,MATCH(AC15,OFFSET(データベース!$A$48,0,IF(Z15="",0,INDEX(データベース!$F$2:$F$5,MATCH(Z15,データベース!$E$2:$E$5,0)))-1,5,1),0),))*10
+IF(AE15="",0,INDEX(データベース!$D$56:$D$62,MATCH(AE15,OFFSET(データベース!$A$56,0,IF(Z15="",0,INDEX(データベース!$F$2:$F$5,MATCH(Z15,データベース!$E$2:$E$5,0)))-1,7,1),0),))</f>
        <v>0</v>
      </c>
      <c r="AH15">
        <f>IF(AG15="",0,INDEX(データベース!$H$2:$H$4,MATCH(AG15,データベース!$G$2:$G$4,0)))</f>
        <v>0</v>
      </c>
      <c r="AJ15">
        <f>IF(AI15="",0,INDEX(データベース!J$2:J$2,MATCH(AI15,データベース!I$2:I$2,0)))</f>
        <v>0</v>
      </c>
      <c r="AL15">
        <f>IF(AK15="",0,INDEX(データベース!L$2:L$3,MATCH(AK15,データベース!K$2:K$3,0)))</f>
        <v>0</v>
      </c>
      <c r="AN15">
        <f>IF(AM15="",0,INDEX(データベース!N$2:N$5,MATCH(AM15,データベース!M$2:M$5,0)))</f>
        <v>0</v>
      </c>
      <c r="AO15" s="4"/>
      <c r="AP15">
        <f>IF(AO15="",0,INDEX(データベース!P$2:P$3,MATCH(AO15,データベース!O$2:O$3,0)))</f>
        <v>0</v>
      </c>
      <c r="AR15">
        <f>IF(AQ15="",0,INDEX(データベース!R$2:R$27,MATCH(AQ15,データベース!Q$2:Q$27,0)))</f>
        <v>0</v>
      </c>
      <c r="AT15">
        <f>IF(AS15="",0,INDEX(データベース!T$2:T$4,MATCH(AS15,データベース!S$2:S$4,0)))</f>
        <v>0</v>
      </c>
      <c r="AV15">
        <f>IF(AU15="",0,INDEX(データベース!V$2:V$37,MATCH(AU15,データベース!U$2:U$37,0)))</f>
        <v>0</v>
      </c>
      <c r="AX15">
        <v>0</v>
      </c>
      <c r="AZ15">
        <v>0</v>
      </c>
      <c r="BB15">
        <v>0</v>
      </c>
    </row>
    <row r="16" spans="1:54">
      <c r="B16">
        <v>0</v>
      </c>
      <c r="G16">
        <f>IF(F16="",0,INDEX(データベース!D$2:D$4,MATCH(F16,データベース!C$2:C$4,0)))</f>
        <v>0</v>
      </c>
      <c r="J16" s="19" t="str">
        <f t="shared" si="0"/>
        <v>服装・</v>
      </c>
      <c r="L16" s="19" t="str">
        <f t="shared" si="1"/>
        <v>感情・</v>
      </c>
      <c r="N16" s="19" cm="1">
        <f t="array" aca="1" ref="N16" ca="1">IF(H16="",0,INDEX(データベース!$F$2:$F$5,MATCH(H16,データベース!$E$2:$E$5,0)))*1000
+IF(I16="",0,INDEX(データベース!$D$41:$D$44,MATCH(I16,OFFSET(データベース!$A$41,0,IF(H16="",0,INDEX(データベース!$F$2:$F$5,MATCH(H16,データベース!$E$2:$E$5,0)))-1,4,1),0),))*100
+IF(K16="",0,INDEX(データベース!$D$48:$D$52,MATCH(K16,OFFSET(データベース!$A$48,0,IF(H16="",0,INDEX(データベース!$F$2:$F$5,MATCH(H16,データベース!$E$2:$E$5,0)))-1,5,1),0),))*10
+IF(M16="",0,INDEX(データベース!$D$56:$D$62,MATCH(M16,OFFSET(データベース!$A$56,0,IF(H16="",0,INDEX(データベース!$F$2:$F$5,MATCH(H16,データベース!$E$2:$E$5,0)))-1,7,1),0),))</f>
        <v>0</v>
      </c>
      <c r="P16">
        <f>IF(O16="",0,INDEX(データベース!$H$2:$H$4,MATCH(O16,データベース!$G$2:$G$4,0)))</f>
        <v>0</v>
      </c>
      <c r="S16" s="18" t="str">
        <f t="shared" si="2"/>
        <v>服装・</v>
      </c>
      <c r="U16" s="18" t="str">
        <f t="shared" si="3"/>
        <v>感情・</v>
      </c>
      <c r="W16" s="18" cm="1">
        <f t="array" aca="1" ref="W16" ca="1">IF(Q16="",0,INDEX(データベース!$F$2:$F$5,MATCH(Q16,データベース!$E$2:$E$5,0)))*1000
+IF(R16="",0,INDEX(データベース!$D$41:$D$44,MATCH(R16,OFFSET(データベース!$A$41,0,IF(Q16="",0,INDEX(データベース!$F$2:$F$5,MATCH(Q16,データベース!$E$2:$E$5,0)))-1,4,1),0),))*100
+IF(T16="",0,INDEX(データベース!$D$48:$D$52,MATCH(T16,OFFSET(データベース!$A$48,0,IF(Q16="",0,INDEX(データベース!$F$2:$F$5,MATCH(Q16,データベース!$E$2:$E$5,0)))-1,5,1),0),))*10
+IF(V16="",0,INDEX(データベース!$D$56:$D$62,MATCH(V16,OFFSET(データベース!$A$56,0,IF(Q16="",0,INDEX(データベース!$F$2:$F$5,MATCH(Q16,データベース!$E$2:$E$5,0)))-1,7,1),0),))</f>
        <v>0</v>
      </c>
      <c r="Y16">
        <f>IF(X16="",0,INDEX(データベース!$H$2:$H$4,MATCH(X16,データベース!$G$2:$G$4,0)))</f>
        <v>0</v>
      </c>
      <c r="AB16" s="9" t="str">
        <f t="shared" si="4"/>
        <v>服装・</v>
      </c>
      <c r="AD16" s="9" t="str">
        <f t="shared" si="5"/>
        <v>感情・</v>
      </c>
      <c r="AF16" s="9" cm="1">
        <f t="array" aca="1" ref="AF16" ca="1">IF(Z16="",0,INDEX(データベース!$F$2:$F$5,MATCH(Z16,データベース!$E$2:$E$5,0)))*1000
+IF(AA16="",0,INDEX(データベース!$D$41:$D$44,MATCH(AA16,OFFSET(データベース!$A$41,0,IF(Z16="",0,INDEX(データベース!$F$2:$F$5,MATCH(Z16,データベース!$E$2:$E$5,0)))-1,4,1),0),))*100
+IF(AC16="",0,INDEX(データベース!$D$48:$D$52,MATCH(AC16,OFFSET(データベース!$A$48,0,IF(Z16="",0,INDEX(データベース!$F$2:$F$5,MATCH(Z16,データベース!$E$2:$E$5,0)))-1,5,1),0),))*10
+IF(AE16="",0,INDEX(データベース!$D$56:$D$62,MATCH(AE16,OFFSET(データベース!$A$56,0,IF(Z16="",0,INDEX(データベース!$F$2:$F$5,MATCH(Z16,データベース!$E$2:$E$5,0)))-1,7,1),0),))</f>
        <v>0</v>
      </c>
      <c r="AH16">
        <f>IF(AG16="",0,INDEX(データベース!$H$2:$H$4,MATCH(AG16,データベース!$G$2:$G$4,0)))</f>
        <v>0</v>
      </c>
      <c r="AJ16">
        <f>IF(AI16="",0,INDEX(データベース!J$2:J$2,MATCH(AI16,データベース!I$2:I$2,0)))</f>
        <v>0</v>
      </c>
      <c r="AL16">
        <f>IF(AK16="",0,INDEX(データベース!L$2:L$3,MATCH(AK16,データベース!K$2:K$3,0)))</f>
        <v>0</v>
      </c>
      <c r="AN16">
        <f>IF(AM16="",0,INDEX(データベース!N$2:N$5,MATCH(AM16,データベース!M$2:M$5,0)))</f>
        <v>0</v>
      </c>
      <c r="AO16" s="4"/>
      <c r="AP16">
        <f>IF(AO16="",0,INDEX(データベース!P$2:P$3,MATCH(AO16,データベース!O$2:O$3,0)))</f>
        <v>0</v>
      </c>
      <c r="AR16">
        <f>IF(AQ16="",0,INDEX(データベース!R$2:R$27,MATCH(AQ16,データベース!Q$2:Q$27,0)))</f>
        <v>0</v>
      </c>
      <c r="AT16">
        <f>IF(AS16="",0,INDEX(データベース!T$2:T$4,MATCH(AS16,データベース!S$2:S$4,0)))</f>
        <v>0</v>
      </c>
      <c r="AV16">
        <f>IF(AU16="",0,INDEX(データベース!V$2:V$37,MATCH(AU16,データベース!U$2:U$37,0)))</f>
        <v>0</v>
      </c>
      <c r="AX16">
        <v>0</v>
      </c>
      <c r="AZ16">
        <v>0</v>
      </c>
      <c r="BB16">
        <v>0</v>
      </c>
    </row>
    <row r="17" spans="2:54">
      <c r="B17">
        <v>0</v>
      </c>
      <c r="G17">
        <f>IF(F17="",0,INDEX(データベース!D$2:D$4,MATCH(F17,データベース!C$2:C$4,0)))</f>
        <v>0</v>
      </c>
      <c r="J17" s="19" t="str">
        <f t="shared" si="0"/>
        <v>服装・</v>
      </c>
      <c r="L17" s="19" t="str">
        <f t="shared" si="1"/>
        <v>感情・</v>
      </c>
      <c r="N17" s="19" cm="1">
        <f t="array" aca="1" ref="N17" ca="1">IF(H17="",0,INDEX(データベース!$F$2:$F$5,MATCH(H17,データベース!$E$2:$E$5,0)))*1000
+IF(I17="",0,INDEX(データベース!$D$41:$D$44,MATCH(I17,OFFSET(データベース!$A$41,0,IF(H17="",0,INDEX(データベース!$F$2:$F$5,MATCH(H17,データベース!$E$2:$E$5,0)))-1,4,1),0),))*100
+IF(K17="",0,INDEX(データベース!$D$48:$D$52,MATCH(K17,OFFSET(データベース!$A$48,0,IF(H17="",0,INDEX(データベース!$F$2:$F$5,MATCH(H17,データベース!$E$2:$E$5,0)))-1,5,1),0),))*10
+IF(M17="",0,INDEX(データベース!$D$56:$D$62,MATCH(M17,OFFSET(データベース!$A$56,0,IF(H17="",0,INDEX(データベース!$F$2:$F$5,MATCH(H17,データベース!$E$2:$E$5,0)))-1,7,1),0),))</f>
        <v>0</v>
      </c>
      <c r="P17">
        <f>IF(O17="",0,INDEX(データベース!$H$2:$H$4,MATCH(O17,データベース!$G$2:$G$4,0)))</f>
        <v>0</v>
      </c>
      <c r="S17" s="18" t="str">
        <f t="shared" si="2"/>
        <v>服装・</v>
      </c>
      <c r="U17" s="18" t="str">
        <f t="shared" si="3"/>
        <v>感情・</v>
      </c>
      <c r="W17" s="18" cm="1">
        <f t="array" aca="1" ref="W17" ca="1">IF(Q17="",0,INDEX(データベース!$F$2:$F$5,MATCH(Q17,データベース!$E$2:$E$5,0)))*1000
+IF(R17="",0,INDEX(データベース!$D$41:$D$44,MATCH(R17,OFFSET(データベース!$A$41,0,IF(Q17="",0,INDEX(データベース!$F$2:$F$5,MATCH(Q17,データベース!$E$2:$E$5,0)))-1,4,1),0),))*100
+IF(T17="",0,INDEX(データベース!$D$48:$D$52,MATCH(T17,OFFSET(データベース!$A$48,0,IF(Q17="",0,INDEX(データベース!$F$2:$F$5,MATCH(Q17,データベース!$E$2:$E$5,0)))-1,5,1),0),))*10
+IF(V17="",0,INDEX(データベース!$D$56:$D$62,MATCH(V17,OFFSET(データベース!$A$56,0,IF(Q17="",0,INDEX(データベース!$F$2:$F$5,MATCH(Q17,データベース!$E$2:$E$5,0)))-1,7,1),0),))</f>
        <v>0</v>
      </c>
      <c r="Y17">
        <f>IF(X17="",0,INDEX(データベース!$H$2:$H$4,MATCH(X17,データベース!$G$2:$G$4,0)))</f>
        <v>0</v>
      </c>
      <c r="AB17" s="9" t="str">
        <f t="shared" si="4"/>
        <v>服装・</v>
      </c>
      <c r="AD17" s="9" t="str">
        <f t="shared" si="5"/>
        <v>感情・</v>
      </c>
      <c r="AF17" s="9" cm="1">
        <f t="array" aca="1" ref="AF17" ca="1">IF(Z17="",0,INDEX(データベース!$F$2:$F$5,MATCH(Z17,データベース!$E$2:$E$5,0)))*1000
+IF(AA17="",0,INDEX(データベース!$D$41:$D$44,MATCH(AA17,OFFSET(データベース!$A$41,0,IF(Z17="",0,INDEX(データベース!$F$2:$F$5,MATCH(Z17,データベース!$E$2:$E$5,0)))-1,4,1),0),))*100
+IF(AC17="",0,INDEX(データベース!$D$48:$D$52,MATCH(AC17,OFFSET(データベース!$A$48,0,IF(Z17="",0,INDEX(データベース!$F$2:$F$5,MATCH(Z17,データベース!$E$2:$E$5,0)))-1,5,1),0),))*10
+IF(AE17="",0,INDEX(データベース!$D$56:$D$62,MATCH(AE17,OFFSET(データベース!$A$56,0,IF(Z17="",0,INDEX(データベース!$F$2:$F$5,MATCH(Z17,データベース!$E$2:$E$5,0)))-1,7,1),0),))</f>
        <v>0</v>
      </c>
      <c r="AH17">
        <f>IF(AG17="",0,INDEX(データベース!$H$2:$H$4,MATCH(AG17,データベース!$G$2:$G$4,0)))</f>
        <v>0</v>
      </c>
      <c r="AJ17">
        <f>IF(AI17="",0,INDEX(データベース!J$2:J$2,MATCH(AI17,データベース!I$2:I$2,0)))</f>
        <v>0</v>
      </c>
      <c r="AL17">
        <f>IF(AK17="",0,INDEX(データベース!L$2:L$3,MATCH(AK17,データベース!K$2:K$3,0)))</f>
        <v>0</v>
      </c>
      <c r="AN17">
        <f>IF(AM17="",0,INDEX(データベース!N$2:N$5,MATCH(AM17,データベース!M$2:M$5,0)))</f>
        <v>0</v>
      </c>
      <c r="AO17" s="4"/>
      <c r="AP17">
        <f>IF(AO17="",0,INDEX(データベース!P$2:P$3,MATCH(AO17,データベース!O$2:O$3,0)))</f>
        <v>0</v>
      </c>
      <c r="AR17">
        <f>IF(AQ17="",0,INDEX(データベース!R$2:R$27,MATCH(AQ17,データベース!Q$2:Q$27,0)))</f>
        <v>0</v>
      </c>
      <c r="AT17">
        <f>IF(AS17="",0,INDEX(データベース!T$2:T$4,MATCH(AS17,データベース!S$2:S$4,0)))</f>
        <v>0</v>
      </c>
      <c r="AV17">
        <f>IF(AU17="",0,INDEX(データベース!V$2:V$37,MATCH(AU17,データベース!U$2:U$37,0)))</f>
        <v>0</v>
      </c>
      <c r="AX17">
        <v>0</v>
      </c>
      <c r="AZ17">
        <v>0</v>
      </c>
      <c r="BB17">
        <v>0</v>
      </c>
    </row>
    <row r="18" spans="2:54">
      <c r="B18">
        <v>0</v>
      </c>
      <c r="G18">
        <f>IF(F18="",0,INDEX(データベース!D$2:D$4,MATCH(F18,データベース!C$2:C$4,0)))</f>
        <v>0</v>
      </c>
      <c r="J18" s="19" t="str">
        <f t="shared" si="0"/>
        <v>服装・</v>
      </c>
      <c r="L18" s="19" t="str">
        <f t="shared" si="1"/>
        <v>感情・</v>
      </c>
      <c r="N18" s="19" cm="1">
        <f t="array" aca="1" ref="N18" ca="1">IF(H18="",0,INDEX(データベース!$F$2:$F$5,MATCH(H18,データベース!$E$2:$E$5,0)))*1000
+IF(I18="",0,INDEX(データベース!$D$41:$D$44,MATCH(I18,OFFSET(データベース!$A$41,0,IF(H18="",0,INDEX(データベース!$F$2:$F$5,MATCH(H18,データベース!$E$2:$E$5,0)))-1,4,1),0),))*100
+IF(K18="",0,INDEX(データベース!$D$48:$D$52,MATCH(K18,OFFSET(データベース!$A$48,0,IF(H18="",0,INDEX(データベース!$F$2:$F$5,MATCH(H18,データベース!$E$2:$E$5,0)))-1,5,1),0),))*10
+IF(M18="",0,INDEX(データベース!$D$56:$D$62,MATCH(M18,OFFSET(データベース!$A$56,0,IF(H18="",0,INDEX(データベース!$F$2:$F$5,MATCH(H18,データベース!$E$2:$E$5,0)))-1,7,1),0),))</f>
        <v>0</v>
      </c>
      <c r="P18">
        <f>IF(O18="",0,INDEX(データベース!$H$2:$H$4,MATCH(O18,データベース!$G$2:$G$4,0)))</f>
        <v>0</v>
      </c>
      <c r="S18" s="18" t="str">
        <f t="shared" si="2"/>
        <v>服装・</v>
      </c>
      <c r="U18" s="18" t="str">
        <f t="shared" si="3"/>
        <v>感情・</v>
      </c>
      <c r="W18" s="18" cm="1">
        <f t="array" aca="1" ref="W18" ca="1">IF(Q18="",0,INDEX(データベース!$F$2:$F$5,MATCH(Q18,データベース!$E$2:$E$5,0)))*1000
+IF(R18="",0,INDEX(データベース!$D$41:$D$44,MATCH(R18,OFFSET(データベース!$A$41,0,IF(Q18="",0,INDEX(データベース!$F$2:$F$5,MATCH(Q18,データベース!$E$2:$E$5,0)))-1,4,1),0),))*100
+IF(T18="",0,INDEX(データベース!$D$48:$D$52,MATCH(T18,OFFSET(データベース!$A$48,0,IF(Q18="",0,INDEX(データベース!$F$2:$F$5,MATCH(Q18,データベース!$E$2:$E$5,0)))-1,5,1),0),))*10
+IF(V18="",0,INDEX(データベース!$D$56:$D$62,MATCH(V18,OFFSET(データベース!$A$56,0,IF(Q18="",0,INDEX(データベース!$F$2:$F$5,MATCH(Q18,データベース!$E$2:$E$5,0)))-1,7,1),0),))</f>
        <v>0</v>
      </c>
      <c r="Y18">
        <f>IF(X18="",0,INDEX(データベース!$H$2:$H$4,MATCH(X18,データベース!$G$2:$G$4,0)))</f>
        <v>0</v>
      </c>
      <c r="AB18" s="9" t="str">
        <f t="shared" si="4"/>
        <v>服装・</v>
      </c>
      <c r="AD18" s="9" t="str">
        <f t="shared" si="5"/>
        <v>感情・</v>
      </c>
      <c r="AF18" s="9" cm="1">
        <f t="array" aca="1" ref="AF18" ca="1">IF(Z18="",0,INDEX(データベース!$F$2:$F$5,MATCH(Z18,データベース!$E$2:$E$5,0)))*1000
+IF(AA18="",0,INDEX(データベース!$D$41:$D$44,MATCH(AA18,OFFSET(データベース!$A$41,0,IF(Z18="",0,INDEX(データベース!$F$2:$F$5,MATCH(Z18,データベース!$E$2:$E$5,0)))-1,4,1),0),))*100
+IF(AC18="",0,INDEX(データベース!$D$48:$D$52,MATCH(AC18,OFFSET(データベース!$A$48,0,IF(Z18="",0,INDEX(データベース!$F$2:$F$5,MATCH(Z18,データベース!$E$2:$E$5,0)))-1,5,1),0),))*10
+IF(AE18="",0,INDEX(データベース!$D$56:$D$62,MATCH(AE18,OFFSET(データベース!$A$56,0,IF(Z18="",0,INDEX(データベース!$F$2:$F$5,MATCH(Z18,データベース!$E$2:$E$5,0)))-1,7,1),0),))</f>
        <v>0</v>
      </c>
      <c r="AH18">
        <f>IF(AG18="",0,INDEX(データベース!$H$2:$H$4,MATCH(AG18,データベース!$G$2:$G$4,0)))</f>
        <v>0</v>
      </c>
      <c r="AJ18">
        <f>IF(AI18="",0,INDEX(データベース!J$2:J$2,MATCH(AI18,データベース!I$2:I$2,0)))</f>
        <v>0</v>
      </c>
      <c r="AL18">
        <f>IF(AK18="",0,INDEX(データベース!L$2:L$3,MATCH(AK18,データベース!K$2:K$3,0)))</f>
        <v>0</v>
      </c>
      <c r="AN18">
        <f>IF(AM18="",0,INDEX(データベース!N$2:N$5,MATCH(AM18,データベース!M$2:M$5,0)))</f>
        <v>0</v>
      </c>
      <c r="AO18" s="4"/>
      <c r="AP18">
        <f>IF(AO18="",0,INDEX(データベース!P$2:P$3,MATCH(AO18,データベース!O$2:O$3,0)))</f>
        <v>0</v>
      </c>
      <c r="AR18">
        <f>IF(AQ18="",0,INDEX(データベース!R$2:R$27,MATCH(AQ18,データベース!Q$2:Q$27,0)))</f>
        <v>0</v>
      </c>
      <c r="AT18">
        <f>IF(AS18="",0,INDEX(データベース!T$2:T$4,MATCH(AS18,データベース!S$2:S$4,0)))</f>
        <v>0</v>
      </c>
      <c r="AV18">
        <f>IF(AU18="",0,INDEX(データベース!V$2:V$37,MATCH(AU18,データベース!U$2:U$37,0)))</f>
        <v>0</v>
      </c>
      <c r="AX18">
        <v>0</v>
      </c>
      <c r="AZ18">
        <v>0</v>
      </c>
      <c r="BB18">
        <v>0</v>
      </c>
    </row>
    <row r="19" spans="2:54">
      <c r="B19">
        <v>0</v>
      </c>
      <c r="G19">
        <f>IF(F19="",0,INDEX(データベース!D$2:D$4,MATCH(F19,データベース!C$2:C$4,0)))</f>
        <v>0</v>
      </c>
      <c r="J19" s="19" t="str">
        <f t="shared" si="0"/>
        <v>服装・</v>
      </c>
      <c r="L19" s="19" t="str">
        <f t="shared" si="1"/>
        <v>感情・</v>
      </c>
      <c r="N19" s="19" cm="1">
        <f t="array" aca="1" ref="N19" ca="1">IF(H19="",0,INDEX(データベース!$F$2:$F$5,MATCH(H19,データベース!$E$2:$E$5,0)))*1000
+IF(I19="",0,INDEX(データベース!$D$41:$D$44,MATCH(I19,OFFSET(データベース!$A$41,0,IF(H19="",0,INDEX(データベース!$F$2:$F$5,MATCH(H19,データベース!$E$2:$E$5,0)))-1,4,1),0),))*100
+IF(K19="",0,INDEX(データベース!$D$48:$D$52,MATCH(K19,OFFSET(データベース!$A$48,0,IF(H19="",0,INDEX(データベース!$F$2:$F$5,MATCH(H19,データベース!$E$2:$E$5,0)))-1,5,1),0),))*10
+IF(M19="",0,INDEX(データベース!$D$56:$D$62,MATCH(M19,OFFSET(データベース!$A$56,0,IF(H19="",0,INDEX(データベース!$F$2:$F$5,MATCH(H19,データベース!$E$2:$E$5,0)))-1,7,1),0),))</f>
        <v>0</v>
      </c>
      <c r="P19">
        <f>IF(O19="",0,INDEX(データベース!$H$2:$H$4,MATCH(O19,データベース!$G$2:$G$4,0)))</f>
        <v>0</v>
      </c>
      <c r="S19" s="18" t="str">
        <f t="shared" si="2"/>
        <v>服装・</v>
      </c>
      <c r="U19" s="18" t="str">
        <f t="shared" si="3"/>
        <v>感情・</v>
      </c>
      <c r="W19" s="18" cm="1">
        <f t="array" aca="1" ref="W19" ca="1">IF(Q19="",0,INDEX(データベース!$F$2:$F$5,MATCH(Q19,データベース!$E$2:$E$5,0)))*1000
+IF(R19="",0,INDEX(データベース!$D$41:$D$44,MATCH(R19,OFFSET(データベース!$A$41,0,IF(Q19="",0,INDEX(データベース!$F$2:$F$5,MATCH(Q19,データベース!$E$2:$E$5,0)))-1,4,1),0),))*100
+IF(T19="",0,INDEX(データベース!$D$48:$D$52,MATCH(T19,OFFSET(データベース!$A$48,0,IF(Q19="",0,INDEX(データベース!$F$2:$F$5,MATCH(Q19,データベース!$E$2:$E$5,0)))-1,5,1),0),))*10
+IF(V19="",0,INDEX(データベース!$D$56:$D$62,MATCH(V19,OFFSET(データベース!$A$56,0,IF(Q19="",0,INDEX(データベース!$F$2:$F$5,MATCH(Q19,データベース!$E$2:$E$5,0)))-1,7,1),0),))</f>
        <v>0</v>
      </c>
      <c r="Y19">
        <f>IF(X19="",0,INDEX(データベース!$H$2:$H$4,MATCH(X19,データベース!$G$2:$G$4,0)))</f>
        <v>0</v>
      </c>
      <c r="AB19" s="9" t="str">
        <f t="shared" si="4"/>
        <v>服装・</v>
      </c>
      <c r="AD19" s="9" t="str">
        <f t="shared" si="5"/>
        <v>感情・</v>
      </c>
      <c r="AF19" s="9" cm="1">
        <f t="array" aca="1" ref="AF19" ca="1">IF(Z19="",0,INDEX(データベース!$F$2:$F$5,MATCH(Z19,データベース!$E$2:$E$5,0)))*1000
+IF(AA19="",0,INDEX(データベース!$D$41:$D$44,MATCH(AA19,OFFSET(データベース!$A$41,0,IF(Z19="",0,INDEX(データベース!$F$2:$F$5,MATCH(Z19,データベース!$E$2:$E$5,0)))-1,4,1),0),))*100
+IF(AC19="",0,INDEX(データベース!$D$48:$D$52,MATCH(AC19,OFFSET(データベース!$A$48,0,IF(Z19="",0,INDEX(データベース!$F$2:$F$5,MATCH(Z19,データベース!$E$2:$E$5,0)))-1,5,1),0),))*10
+IF(AE19="",0,INDEX(データベース!$D$56:$D$62,MATCH(AE19,OFFSET(データベース!$A$56,0,IF(Z19="",0,INDEX(データベース!$F$2:$F$5,MATCH(Z19,データベース!$E$2:$E$5,0)))-1,7,1),0),))</f>
        <v>0</v>
      </c>
      <c r="AH19">
        <f>IF(AG19="",0,INDEX(データベース!$H$2:$H$4,MATCH(AG19,データベース!$G$2:$G$4,0)))</f>
        <v>0</v>
      </c>
      <c r="AJ19">
        <f>IF(AI19="",0,INDEX(データベース!J$2:J$2,MATCH(AI19,データベース!I$2:I$2,0)))</f>
        <v>0</v>
      </c>
      <c r="AL19">
        <f>IF(AK19="",0,INDEX(データベース!L$2:L$3,MATCH(AK19,データベース!K$2:K$3,0)))</f>
        <v>0</v>
      </c>
      <c r="AN19">
        <f>IF(AM19="",0,INDEX(データベース!N$2:N$5,MATCH(AM19,データベース!M$2:M$5,0)))</f>
        <v>0</v>
      </c>
      <c r="AO19" s="4"/>
      <c r="AP19">
        <f>IF(AO19="",0,INDEX(データベース!P$2:P$3,MATCH(AO19,データベース!O$2:O$3,0)))</f>
        <v>0</v>
      </c>
      <c r="AR19">
        <f>IF(AQ19="",0,INDEX(データベース!R$2:R$27,MATCH(AQ19,データベース!Q$2:Q$27,0)))</f>
        <v>0</v>
      </c>
      <c r="AT19">
        <f>IF(AS19="",0,INDEX(データベース!T$2:T$4,MATCH(AS19,データベース!S$2:S$4,0)))</f>
        <v>0</v>
      </c>
      <c r="AV19">
        <f>IF(AU19="",0,INDEX(データベース!V$2:V$37,MATCH(AU19,データベース!U$2:U$37,0)))</f>
        <v>0</v>
      </c>
      <c r="AX19">
        <v>0</v>
      </c>
      <c r="AZ19">
        <v>0</v>
      </c>
      <c r="BB19">
        <v>0</v>
      </c>
    </row>
    <row r="20" spans="2:54">
      <c r="B20">
        <v>0</v>
      </c>
      <c r="G20">
        <f>IF(F20="",0,INDEX(データベース!D$2:D$4,MATCH(F20,データベース!C$2:C$4,0)))</f>
        <v>0</v>
      </c>
      <c r="J20" s="19" t="str">
        <f t="shared" si="0"/>
        <v>服装・</v>
      </c>
      <c r="L20" s="19" t="str">
        <f t="shared" si="1"/>
        <v>感情・</v>
      </c>
      <c r="N20" s="19" cm="1">
        <f t="array" aca="1" ref="N20" ca="1">IF(H20="",0,INDEX(データベース!$F$2:$F$5,MATCH(H20,データベース!$E$2:$E$5,0)))*1000
+IF(I20="",0,INDEX(データベース!$D$41:$D$44,MATCH(I20,OFFSET(データベース!$A$41,0,IF(H20="",0,INDEX(データベース!$F$2:$F$5,MATCH(H20,データベース!$E$2:$E$5,0)))-1,4,1),0),))*100
+IF(K20="",0,INDEX(データベース!$D$48:$D$52,MATCH(K20,OFFSET(データベース!$A$48,0,IF(H20="",0,INDEX(データベース!$F$2:$F$5,MATCH(H20,データベース!$E$2:$E$5,0)))-1,5,1),0),))*10
+IF(M20="",0,INDEX(データベース!$D$56:$D$62,MATCH(M20,OFFSET(データベース!$A$56,0,IF(H20="",0,INDEX(データベース!$F$2:$F$5,MATCH(H20,データベース!$E$2:$E$5,0)))-1,7,1),0),))</f>
        <v>0</v>
      </c>
      <c r="P20">
        <f>IF(O20="",0,INDEX(データベース!$H$2:$H$4,MATCH(O20,データベース!$G$2:$G$4,0)))</f>
        <v>0</v>
      </c>
      <c r="S20" s="18" t="str">
        <f t="shared" si="2"/>
        <v>服装・</v>
      </c>
      <c r="U20" s="18" t="str">
        <f t="shared" si="3"/>
        <v>感情・</v>
      </c>
      <c r="W20" s="18" cm="1">
        <f t="array" aca="1" ref="W20" ca="1">IF(Q20="",0,INDEX(データベース!$F$2:$F$5,MATCH(Q20,データベース!$E$2:$E$5,0)))*1000
+IF(R20="",0,INDEX(データベース!$D$41:$D$44,MATCH(R20,OFFSET(データベース!$A$41,0,IF(Q20="",0,INDEX(データベース!$F$2:$F$5,MATCH(Q20,データベース!$E$2:$E$5,0)))-1,4,1),0),))*100
+IF(T20="",0,INDEX(データベース!$D$48:$D$52,MATCH(T20,OFFSET(データベース!$A$48,0,IF(Q20="",0,INDEX(データベース!$F$2:$F$5,MATCH(Q20,データベース!$E$2:$E$5,0)))-1,5,1),0),))*10
+IF(V20="",0,INDEX(データベース!$D$56:$D$62,MATCH(V20,OFFSET(データベース!$A$56,0,IF(Q20="",0,INDEX(データベース!$F$2:$F$5,MATCH(Q20,データベース!$E$2:$E$5,0)))-1,7,1),0),))</f>
        <v>0</v>
      </c>
      <c r="Y20">
        <f>IF(X20="",0,INDEX(データベース!$H$2:$H$4,MATCH(X20,データベース!$G$2:$G$4,0)))</f>
        <v>0</v>
      </c>
      <c r="AB20" s="9" t="str">
        <f t="shared" si="4"/>
        <v>服装・</v>
      </c>
      <c r="AD20" s="9" t="str">
        <f t="shared" si="5"/>
        <v>感情・</v>
      </c>
      <c r="AF20" s="9" cm="1">
        <f t="array" aca="1" ref="AF20" ca="1">IF(Z20="",0,INDEX(データベース!$F$2:$F$5,MATCH(Z20,データベース!$E$2:$E$5,0)))*1000
+IF(AA20="",0,INDEX(データベース!$D$41:$D$44,MATCH(AA20,OFFSET(データベース!$A$41,0,IF(Z20="",0,INDEX(データベース!$F$2:$F$5,MATCH(Z20,データベース!$E$2:$E$5,0)))-1,4,1),0),))*100
+IF(AC20="",0,INDEX(データベース!$D$48:$D$52,MATCH(AC20,OFFSET(データベース!$A$48,0,IF(Z20="",0,INDEX(データベース!$F$2:$F$5,MATCH(Z20,データベース!$E$2:$E$5,0)))-1,5,1),0),))*10
+IF(AE20="",0,INDEX(データベース!$D$56:$D$62,MATCH(AE20,OFFSET(データベース!$A$56,0,IF(Z20="",0,INDEX(データベース!$F$2:$F$5,MATCH(Z20,データベース!$E$2:$E$5,0)))-1,7,1),0),))</f>
        <v>0</v>
      </c>
      <c r="AH20">
        <f>IF(AG20="",0,INDEX(データベース!$H$2:$H$4,MATCH(AG20,データベース!$G$2:$G$4,0)))</f>
        <v>0</v>
      </c>
      <c r="AJ20">
        <f>IF(AI20="",0,INDEX(データベース!J$2:J$2,MATCH(AI20,データベース!I$2:I$2,0)))</f>
        <v>0</v>
      </c>
      <c r="AL20">
        <f>IF(AK20="",0,INDEX(データベース!L$2:L$3,MATCH(AK20,データベース!K$2:K$3,0)))</f>
        <v>0</v>
      </c>
      <c r="AN20">
        <f>IF(AM20="",0,INDEX(データベース!N$2:N$5,MATCH(AM20,データベース!M$2:M$5,0)))</f>
        <v>0</v>
      </c>
      <c r="AO20" s="4"/>
      <c r="AP20">
        <f>IF(AO20="",0,INDEX(データベース!P$2:P$3,MATCH(AO20,データベース!O$2:O$3,0)))</f>
        <v>0</v>
      </c>
      <c r="AR20">
        <f>IF(AQ20="",0,INDEX(データベース!R$2:R$27,MATCH(AQ20,データベース!Q$2:Q$27,0)))</f>
        <v>0</v>
      </c>
      <c r="AT20">
        <f>IF(AS20="",0,INDEX(データベース!T$2:T$4,MATCH(AS20,データベース!S$2:S$4,0)))</f>
        <v>0</v>
      </c>
      <c r="AV20">
        <f>IF(AU20="",0,INDEX(データベース!V$2:V$37,MATCH(AU20,データベース!U$2:U$37,0)))</f>
        <v>0</v>
      </c>
      <c r="AX20">
        <v>0</v>
      </c>
      <c r="AZ20">
        <v>0</v>
      </c>
      <c r="BB20">
        <v>0</v>
      </c>
    </row>
    <row r="21" spans="2:54">
      <c r="B21">
        <v>0</v>
      </c>
      <c r="G21">
        <f>IF(F21="",0,INDEX(データベース!D$2:D$4,MATCH(F21,データベース!C$2:C$4,0)))</f>
        <v>0</v>
      </c>
      <c r="J21" s="19" t="str">
        <f t="shared" si="0"/>
        <v>服装・</v>
      </c>
      <c r="L21" s="19" t="str">
        <f t="shared" si="1"/>
        <v>感情・</v>
      </c>
      <c r="N21" s="19" cm="1">
        <f t="array" aca="1" ref="N21" ca="1">IF(H21="",0,INDEX(データベース!$F$2:$F$5,MATCH(H21,データベース!$E$2:$E$5,0)))*1000
+IF(I21="",0,INDEX(データベース!$D$41:$D$44,MATCH(I21,OFFSET(データベース!$A$41,0,IF(H21="",0,INDEX(データベース!$F$2:$F$5,MATCH(H21,データベース!$E$2:$E$5,0)))-1,4,1),0),))*100
+IF(K21="",0,INDEX(データベース!$D$48:$D$52,MATCH(K21,OFFSET(データベース!$A$48,0,IF(H21="",0,INDEX(データベース!$F$2:$F$5,MATCH(H21,データベース!$E$2:$E$5,0)))-1,5,1),0),))*10
+IF(M21="",0,INDEX(データベース!$D$56:$D$62,MATCH(M21,OFFSET(データベース!$A$56,0,IF(H21="",0,INDEX(データベース!$F$2:$F$5,MATCH(H21,データベース!$E$2:$E$5,0)))-1,7,1),0),))</f>
        <v>0</v>
      </c>
      <c r="P21">
        <f>IF(O21="",0,INDEX(データベース!$H$2:$H$4,MATCH(O21,データベース!$G$2:$G$4,0)))</f>
        <v>0</v>
      </c>
      <c r="S21" s="18" t="str">
        <f t="shared" si="2"/>
        <v>服装・</v>
      </c>
      <c r="U21" s="18" t="str">
        <f t="shared" si="3"/>
        <v>感情・</v>
      </c>
      <c r="W21" s="18" cm="1">
        <f t="array" aca="1" ref="W21" ca="1">IF(Q21="",0,INDEX(データベース!$F$2:$F$5,MATCH(Q21,データベース!$E$2:$E$5,0)))*1000
+IF(R21="",0,INDEX(データベース!$D$41:$D$44,MATCH(R21,OFFSET(データベース!$A$41,0,IF(Q21="",0,INDEX(データベース!$F$2:$F$5,MATCH(Q21,データベース!$E$2:$E$5,0)))-1,4,1),0),))*100
+IF(T21="",0,INDEX(データベース!$D$48:$D$52,MATCH(T21,OFFSET(データベース!$A$48,0,IF(Q21="",0,INDEX(データベース!$F$2:$F$5,MATCH(Q21,データベース!$E$2:$E$5,0)))-1,5,1),0),))*10
+IF(V21="",0,INDEX(データベース!$D$56:$D$62,MATCH(V21,OFFSET(データベース!$A$56,0,IF(Q21="",0,INDEX(データベース!$F$2:$F$5,MATCH(Q21,データベース!$E$2:$E$5,0)))-1,7,1),0),))</f>
        <v>0</v>
      </c>
      <c r="Y21">
        <f>IF(X21="",0,INDEX(データベース!$H$2:$H$4,MATCH(X21,データベース!$G$2:$G$4,0)))</f>
        <v>0</v>
      </c>
      <c r="AB21" s="9" t="str">
        <f t="shared" si="4"/>
        <v>服装・</v>
      </c>
      <c r="AD21" s="9" t="str">
        <f t="shared" si="5"/>
        <v>感情・</v>
      </c>
      <c r="AF21" s="9" cm="1">
        <f t="array" aca="1" ref="AF21" ca="1">IF(Z21="",0,INDEX(データベース!$F$2:$F$5,MATCH(Z21,データベース!$E$2:$E$5,0)))*1000
+IF(AA21="",0,INDEX(データベース!$D$41:$D$44,MATCH(AA21,OFFSET(データベース!$A$41,0,IF(Z21="",0,INDEX(データベース!$F$2:$F$5,MATCH(Z21,データベース!$E$2:$E$5,0)))-1,4,1),0),))*100
+IF(AC21="",0,INDEX(データベース!$D$48:$D$52,MATCH(AC21,OFFSET(データベース!$A$48,0,IF(Z21="",0,INDEX(データベース!$F$2:$F$5,MATCH(Z21,データベース!$E$2:$E$5,0)))-1,5,1),0),))*10
+IF(AE21="",0,INDEX(データベース!$D$56:$D$62,MATCH(AE21,OFFSET(データベース!$A$56,0,IF(Z21="",0,INDEX(データベース!$F$2:$F$5,MATCH(Z21,データベース!$E$2:$E$5,0)))-1,7,1),0),))</f>
        <v>0</v>
      </c>
      <c r="AH21">
        <f>IF(AG21="",0,INDEX(データベース!$H$2:$H$4,MATCH(AG21,データベース!$G$2:$G$4,0)))</f>
        <v>0</v>
      </c>
      <c r="AJ21">
        <f>IF(AI21="",0,INDEX(データベース!J$2:J$2,MATCH(AI21,データベース!I$2:I$2,0)))</f>
        <v>0</v>
      </c>
      <c r="AL21">
        <f>IF(AK21="",0,INDEX(データベース!L$2:L$3,MATCH(AK21,データベース!K$2:K$3,0)))</f>
        <v>0</v>
      </c>
      <c r="AN21">
        <f>IF(AM21="",0,INDEX(データベース!N$2:N$5,MATCH(AM21,データベース!M$2:M$5,0)))</f>
        <v>0</v>
      </c>
      <c r="AO21" s="4"/>
      <c r="AP21">
        <f>IF(AO21="",0,INDEX(データベース!P$2:P$3,MATCH(AO21,データベース!O$2:O$3,0)))</f>
        <v>0</v>
      </c>
      <c r="AR21">
        <f>IF(AQ21="",0,INDEX(データベース!R$2:R$27,MATCH(AQ21,データベース!Q$2:Q$27,0)))</f>
        <v>0</v>
      </c>
      <c r="AT21">
        <f>IF(AS21="",0,INDEX(データベース!T$2:T$4,MATCH(AS21,データベース!S$2:S$4,0)))</f>
        <v>0</v>
      </c>
      <c r="AV21">
        <f>IF(AU21="",0,INDEX(データベース!V$2:V$37,MATCH(AU21,データベース!U$2:U$37,0)))</f>
        <v>0</v>
      </c>
      <c r="AX21">
        <v>0</v>
      </c>
      <c r="AZ21">
        <v>0</v>
      </c>
      <c r="BB21">
        <v>0</v>
      </c>
    </row>
    <row r="22" spans="2:54">
      <c r="B22">
        <v>0</v>
      </c>
      <c r="G22">
        <f>IF(F22="",0,INDEX(データベース!D$2:D$4,MATCH(F22,データベース!C$2:C$4,0)))</f>
        <v>0</v>
      </c>
      <c r="J22" s="19" t="str">
        <f t="shared" si="0"/>
        <v>服装・</v>
      </c>
      <c r="L22" s="19" t="str">
        <f t="shared" si="1"/>
        <v>感情・</v>
      </c>
      <c r="N22" s="19" cm="1">
        <f t="array" aca="1" ref="N22" ca="1">IF(H22="",0,INDEX(データベース!$F$2:$F$5,MATCH(H22,データベース!$E$2:$E$5,0)))*1000
+IF(I22="",0,INDEX(データベース!$D$41:$D$44,MATCH(I22,OFFSET(データベース!$A$41,0,IF(H22="",0,INDEX(データベース!$F$2:$F$5,MATCH(H22,データベース!$E$2:$E$5,0)))-1,4,1),0),))*100
+IF(K22="",0,INDEX(データベース!$D$48:$D$52,MATCH(K22,OFFSET(データベース!$A$48,0,IF(H22="",0,INDEX(データベース!$F$2:$F$5,MATCH(H22,データベース!$E$2:$E$5,0)))-1,5,1),0),))*10
+IF(M22="",0,INDEX(データベース!$D$56:$D$62,MATCH(M22,OFFSET(データベース!$A$56,0,IF(H22="",0,INDEX(データベース!$F$2:$F$5,MATCH(H22,データベース!$E$2:$E$5,0)))-1,7,1),0),))</f>
        <v>0</v>
      </c>
      <c r="P22">
        <f>IF(O22="",0,INDEX(データベース!$H$2:$H$4,MATCH(O22,データベース!$G$2:$G$4,0)))</f>
        <v>0</v>
      </c>
      <c r="S22" s="18" t="str">
        <f t="shared" si="2"/>
        <v>服装・</v>
      </c>
      <c r="U22" s="18" t="str">
        <f t="shared" si="3"/>
        <v>感情・</v>
      </c>
      <c r="W22" s="18" cm="1">
        <f t="array" aca="1" ref="W22" ca="1">IF(Q22="",0,INDEX(データベース!$F$2:$F$5,MATCH(Q22,データベース!$E$2:$E$5,0)))*1000
+IF(R22="",0,INDEX(データベース!$D$41:$D$44,MATCH(R22,OFFSET(データベース!$A$41,0,IF(Q22="",0,INDEX(データベース!$F$2:$F$5,MATCH(Q22,データベース!$E$2:$E$5,0)))-1,4,1),0),))*100
+IF(T22="",0,INDEX(データベース!$D$48:$D$52,MATCH(T22,OFFSET(データベース!$A$48,0,IF(Q22="",0,INDEX(データベース!$F$2:$F$5,MATCH(Q22,データベース!$E$2:$E$5,0)))-1,5,1),0),))*10
+IF(V22="",0,INDEX(データベース!$D$56:$D$62,MATCH(V22,OFFSET(データベース!$A$56,0,IF(Q22="",0,INDEX(データベース!$F$2:$F$5,MATCH(Q22,データベース!$E$2:$E$5,0)))-1,7,1),0),))</f>
        <v>0</v>
      </c>
      <c r="Y22">
        <f>IF(X22="",0,INDEX(データベース!$H$2:$H$4,MATCH(X22,データベース!$G$2:$G$4,0)))</f>
        <v>0</v>
      </c>
      <c r="AB22" s="9" t="str">
        <f t="shared" si="4"/>
        <v>服装・</v>
      </c>
      <c r="AD22" s="9" t="str">
        <f t="shared" si="5"/>
        <v>感情・</v>
      </c>
      <c r="AF22" s="9" cm="1">
        <f t="array" aca="1" ref="AF22" ca="1">IF(Z22="",0,INDEX(データベース!$F$2:$F$5,MATCH(Z22,データベース!$E$2:$E$5,0)))*1000
+IF(AA22="",0,INDEX(データベース!$D$41:$D$44,MATCH(AA22,OFFSET(データベース!$A$41,0,IF(Z22="",0,INDEX(データベース!$F$2:$F$5,MATCH(Z22,データベース!$E$2:$E$5,0)))-1,4,1),0),))*100
+IF(AC22="",0,INDEX(データベース!$D$48:$D$52,MATCH(AC22,OFFSET(データベース!$A$48,0,IF(Z22="",0,INDEX(データベース!$F$2:$F$5,MATCH(Z22,データベース!$E$2:$E$5,0)))-1,5,1),0),))*10
+IF(AE22="",0,INDEX(データベース!$D$56:$D$62,MATCH(AE22,OFFSET(データベース!$A$56,0,IF(Z22="",0,INDEX(データベース!$F$2:$F$5,MATCH(Z22,データベース!$E$2:$E$5,0)))-1,7,1),0),))</f>
        <v>0</v>
      </c>
      <c r="AH22">
        <f>IF(AG22="",0,INDEX(データベース!$H$2:$H$4,MATCH(AG22,データベース!$G$2:$G$4,0)))</f>
        <v>0</v>
      </c>
      <c r="AJ22">
        <f>IF(AI22="",0,INDEX(データベース!J$2:J$2,MATCH(AI22,データベース!I$2:I$2,0)))</f>
        <v>0</v>
      </c>
      <c r="AL22">
        <f>IF(AK22="",0,INDEX(データベース!L$2:L$3,MATCH(AK22,データベース!K$2:K$3,0)))</f>
        <v>0</v>
      </c>
      <c r="AN22">
        <f>IF(AM22="",0,INDEX(データベース!N$2:N$5,MATCH(AM22,データベース!M$2:M$5,0)))</f>
        <v>0</v>
      </c>
      <c r="AO22" s="4"/>
      <c r="AP22">
        <f>IF(AO22="",0,INDEX(データベース!P$2:P$3,MATCH(AO22,データベース!O$2:O$3,0)))</f>
        <v>0</v>
      </c>
      <c r="AR22">
        <f>IF(AQ22="",0,INDEX(データベース!R$2:R$27,MATCH(AQ22,データベース!Q$2:Q$27,0)))</f>
        <v>0</v>
      </c>
      <c r="AT22">
        <f>IF(AS22="",0,INDEX(データベース!T$2:T$4,MATCH(AS22,データベース!S$2:S$4,0)))</f>
        <v>0</v>
      </c>
      <c r="AV22">
        <f>IF(AU22="",0,INDEX(データベース!V$2:V$37,MATCH(AU22,データベース!U$2:U$37,0)))</f>
        <v>0</v>
      </c>
      <c r="AX22">
        <v>0</v>
      </c>
      <c r="AZ22">
        <v>0</v>
      </c>
      <c r="BB22">
        <v>0</v>
      </c>
    </row>
    <row r="23" spans="2:54">
      <c r="B23">
        <v>0</v>
      </c>
      <c r="G23">
        <f>IF(F23="",0,INDEX(データベース!D$2:D$4,MATCH(F23,データベース!C$2:C$4,0)))</f>
        <v>0</v>
      </c>
      <c r="J23" s="19" t="str">
        <f t="shared" si="0"/>
        <v>服装・</v>
      </c>
      <c r="L23" s="19" t="str">
        <f t="shared" si="1"/>
        <v>感情・</v>
      </c>
      <c r="N23" s="19" cm="1">
        <f t="array" aca="1" ref="N23" ca="1">IF(H23="",0,INDEX(データベース!$F$2:$F$5,MATCH(H23,データベース!$E$2:$E$5,0)))*1000
+IF(I23="",0,INDEX(データベース!$D$41:$D$44,MATCH(I23,OFFSET(データベース!$A$41,0,IF(H23="",0,INDEX(データベース!$F$2:$F$5,MATCH(H23,データベース!$E$2:$E$5,0)))-1,4,1),0),))*100
+IF(K23="",0,INDEX(データベース!$D$48:$D$52,MATCH(K23,OFFSET(データベース!$A$48,0,IF(H23="",0,INDEX(データベース!$F$2:$F$5,MATCH(H23,データベース!$E$2:$E$5,0)))-1,5,1),0),))*10
+IF(M23="",0,INDEX(データベース!$D$56:$D$62,MATCH(M23,OFFSET(データベース!$A$56,0,IF(H23="",0,INDEX(データベース!$F$2:$F$5,MATCH(H23,データベース!$E$2:$E$5,0)))-1,7,1),0),))</f>
        <v>0</v>
      </c>
      <c r="P23">
        <f>IF(O23="",0,INDEX(データベース!$H$2:$H$4,MATCH(O23,データベース!$G$2:$G$4,0)))</f>
        <v>0</v>
      </c>
      <c r="S23" s="18" t="str">
        <f t="shared" si="2"/>
        <v>服装・</v>
      </c>
      <c r="U23" s="18" t="str">
        <f t="shared" si="3"/>
        <v>感情・</v>
      </c>
      <c r="W23" s="18" cm="1">
        <f t="array" aca="1" ref="W23" ca="1">IF(Q23="",0,INDEX(データベース!$F$2:$F$5,MATCH(Q23,データベース!$E$2:$E$5,0)))*1000
+IF(R23="",0,INDEX(データベース!$D$41:$D$44,MATCH(R23,OFFSET(データベース!$A$41,0,IF(Q23="",0,INDEX(データベース!$F$2:$F$5,MATCH(Q23,データベース!$E$2:$E$5,0)))-1,4,1),0),))*100
+IF(T23="",0,INDEX(データベース!$D$48:$D$52,MATCH(T23,OFFSET(データベース!$A$48,0,IF(Q23="",0,INDEX(データベース!$F$2:$F$5,MATCH(Q23,データベース!$E$2:$E$5,0)))-1,5,1),0),))*10
+IF(V23="",0,INDEX(データベース!$D$56:$D$62,MATCH(V23,OFFSET(データベース!$A$56,0,IF(Q23="",0,INDEX(データベース!$F$2:$F$5,MATCH(Q23,データベース!$E$2:$E$5,0)))-1,7,1),0),))</f>
        <v>0</v>
      </c>
      <c r="Y23">
        <f>IF(X23="",0,INDEX(データベース!$H$2:$H$4,MATCH(X23,データベース!$G$2:$G$4,0)))</f>
        <v>0</v>
      </c>
      <c r="AB23" s="9" t="str">
        <f t="shared" si="4"/>
        <v>服装・</v>
      </c>
      <c r="AD23" s="9" t="str">
        <f t="shared" si="5"/>
        <v>感情・</v>
      </c>
      <c r="AF23" s="9" cm="1">
        <f t="array" aca="1" ref="AF23" ca="1">IF(Z23="",0,INDEX(データベース!$F$2:$F$5,MATCH(Z23,データベース!$E$2:$E$5,0)))*1000
+IF(AA23="",0,INDEX(データベース!$D$41:$D$44,MATCH(AA23,OFFSET(データベース!$A$41,0,IF(Z23="",0,INDEX(データベース!$F$2:$F$5,MATCH(Z23,データベース!$E$2:$E$5,0)))-1,4,1),0),))*100
+IF(AC23="",0,INDEX(データベース!$D$48:$D$52,MATCH(AC23,OFFSET(データベース!$A$48,0,IF(Z23="",0,INDEX(データベース!$F$2:$F$5,MATCH(Z23,データベース!$E$2:$E$5,0)))-1,5,1),0),))*10
+IF(AE23="",0,INDEX(データベース!$D$56:$D$62,MATCH(AE23,OFFSET(データベース!$A$56,0,IF(Z23="",0,INDEX(データベース!$F$2:$F$5,MATCH(Z23,データベース!$E$2:$E$5,0)))-1,7,1),0),))</f>
        <v>0</v>
      </c>
      <c r="AH23">
        <f>IF(AG23="",0,INDEX(データベース!$H$2:$H$4,MATCH(AG23,データベース!$G$2:$G$4,0)))</f>
        <v>0</v>
      </c>
      <c r="AJ23">
        <f>IF(AI23="",0,INDEX(データベース!J$2:J$2,MATCH(AI23,データベース!I$2:I$2,0)))</f>
        <v>0</v>
      </c>
      <c r="AL23">
        <f>IF(AK23="",0,INDEX(データベース!L$2:L$3,MATCH(AK23,データベース!K$2:K$3,0)))</f>
        <v>0</v>
      </c>
      <c r="AN23">
        <f>IF(AM23="",0,INDEX(データベース!N$2:N$5,MATCH(AM23,データベース!M$2:M$5,0)))</f>
        <v>0</v>
      </c>
      <c r="AO23" s="4"/>
      <c r="AP23">
        <f>IF(AO23="",0,INDEX(データベース!P$2:P$3,MATCH(AO23,データベース!O$2:O$3,0)))</f>
        <v>0</v>
      </c>
      <c r="AR23">
        <f>IF(AQ23="",0,INDEX(データベース!R$2:R$27,MATCH(AQ23,データベース!Q$2:Q$27,0)))</f>
        <v>0</v>
      </c>
      <c r="AT23">
        <f>IF(AS23="",0,INDEX(データベース!T$2:T$4,MATCH(AS23,データベース!S$2:S$4,0)))</f>
        <v>0</v>
      </c>
      <c r="AV23">
        <f>IF(AU23="",0,INDEX(データベース!V$2:V$37,MATCH(AU23,データベース!U$2:U$37,0)))</f>
        <v>0</v>
      </c>
      <c r="AX23">
        <v>0</v>
      </c>
      <c r="AZ23">
        <v>0</v>
      </c>
      <c r="BB23">
        <v>0</v>
      </c>
    </row>
    <row r="24" spans="2:54">
      <c r="B24">
        <v>0</v>
      </c>
      <c r="G24">
        <f>IF(F24="",0,INDEX(データベース!D$2:D$4,MATCH(F24,データベース!C$2:C$4,0)))</f>
        <v>0</v>
      </c>
      <c r="J24" s="19" t="str">
        <f t="shared" si="0"/>
        <v>服装・</v>
      </c>
      <c r="L24" s="19" t="str">
        <f t="shared" si="1"/>
        <v>感情・</v>
      </c>
      <c r="N24" s="19" cm="1">
        <f t="array" aca="1" ref="N24" ca="1">IF(H24="",0,INDEX(データベース!$F$2:$F$5,MATCH(H24,データベース!$E$2:$E$5,0)))*1000
+IF(I24="",0,INDEX(データベース!$D$41:$D$44,MATCH(I24,OFFSET(データベース!$A$41,0,IF(H24="",0,INDEX(データベース!$F$2:$F$5,MATCH(H24,データベース!$E$2:$E$5,0)))-1,4,1),0),))*100
+IF(K24="",0,INDEX(データベース!$D$48:$D$52,MATCH(K24,OFFSET(データベース!$A$48,0,IF(H24="",0,INDEX(データベース!$F$2:$F$5,MATCH(H24,データベース!$E$2:$E$5,0)))-1,5,1),0),))*10
+IF(M24="",0,INDEX(データベース!$D$56:$D$62,MATCH(M24,OFFSET(データベース!$A$56,0,IF(H24="",0,INDEX(データベース!$F$2:$F$5,MATCH(H24,データベース!$E$2:$E$5,0)))-1,7,1),0),))</f>
        <v>0</v>
      </c>
      <c r="P24">
        <f>IF(O24="",0,INDEX(データベース!$H$2:$H$4,MATCH(O24,データベース!$G$2:$G$4,0)))</f>
        <v>0</v>
      </c>
      <c r="S24" s="18" t="str">
        <f t="shared" si="2"/>
        <v>服装・</v>
      </c>
      <c r="U24" s="18" t="str">
        <f t="shared" si="3"/>
        <v>感情・</v>
      </c>
      <c r="W24" s="18" cm="1">
        <f t="array" aca="1" ref="W24" ca="1">IF(Q24="",0,INDEX(データベース!$F$2:$F$5,MATCH(Q24,データベース!$E$2:$E$5,0)))*1000
+IF(R24="",0,INDEX(データベース!$D$41:$D$44,MATCH(R24,OFFSET(データベース!$A$41,0,IF(Q24="",0,INDEX(データベース!$F$2:$F$5,MATCH(Q24,データベース!$E$2:$E$5,0)))-1,4,1),0),))*100
+IF(T24="",0,INDEX(データベース!$D$48:$D$52,MATCH(T24,OFFSET(データベース!$A$48,0,IF(Q24="",0,INDEX(データベース!$F$2:$F$5,MATCH(Q24,データベース!$E$2:$E$5,0)))-1,5,1),0),))*10
+IF(V24="",0,INDEX(データベース!$D$56:$D$62,MATCH(V24,OFFSET(データベース!$A$56,0,IF(Q24="",0,INDEX(データベース!$F$2:$F$5,MATCH(Q24,データベース!$E$2:$E$5,0)))-1,7,1),0),))</f>
        <v>0</v>
      </c>
      <c r="Y24">
        <f>IF(X24="",0,INDEX(データベース!$H$2:$H$4,MATCH(X24,データベース!$G$2:$G$4,0)))</f>
        <v>0</v>
      </c>
      <c r="AB24" s="9" t="str">
        <f t="shared" si="4"/>
        <v>服装・</v>
      </c>
      <c r="AD24" s="9" t="str">
        <f t="shared" si="5"/>
        <v>感情・</v>
      </c>
      <c r="AF24" s="9" cm="1">
        <f t="array" aca="1" ref="AF24" ca="1">IF(Z24="",0,INDEX(データベース!$F$2:$F$5,MATCH(Z24,データベース!$E$2:$E$5,0)))*1000
+IF(AA24="",0,INDEX(データベース!$D$41:$D$44,MATCH(AA24,OFFSET(データベース!$A$41,0,IF(Z24="",0,INDEX(データベース!$F$2:$F$5,MATCH(Z24,データベース!$E$2:$E$5,0)))-1,4,1),0),))*100
+IF(AC24="",0,INDEX(データベース!$D$48:$D$52,MATCH(AC24,OFFSET(データベース!$A$48,0,IF(Z24="",0,INDEX(データベース!$F$2:$F$5,MATCH(Z24,データベース!$E$2:$E$5,0)))-1,5,1),0),))*10
+IF(AE24="",0,INDEX(データベース!$D$56:$D$62,MATCH(AE24,OFFSET(データベース!$A$56,0,IF(Z24="",0,INDEX(データベース!$F$2:$F$5,MATCH(Z24,データベース!$E$2:$E$5,0)))-1,7,1),0),))</f>
        <v>0</v>
      </c>
      <c r="AH24">
        <f>IF(AG24="",0,INDEX(データベース!$H$2:$H$4,MATCH(AG24,データベース!$G$2:$G$4,0)))</f>
        <v>0</v>
      </c>
      <c r="AJ24">
        <f>IF(AI24="",0,INDEX(データベース!J$2:J$2,MATCH(AI24,データベース!I$2:I$2,0)))</f>
        <v>0</v>
      </c>
      <c r="AL24">
        <f>IF(AK24="",0,INDEX(データベース!L$2:L$3,MATCH(AK24,データベース!K$2:K$3,0)))</f>
        <v>0</v>
      </c>
      <c r="AN24">
        <f>IF(AM24="",0,INDEX(データベース!N$2:N$5,MATCH(AM24,データベース!M$2:M$5,0)))</f>
        <v>0</v>
      </c>
      <c r="AO24" s="4"/>
      <c r="AP24">
        <f>IF(AO24="",0,INDEX(データベース!P$2:P$3,MATCH(AO24,データベース!O$2:O$3,0)))</f>
        <v>0</v>
      </c>
      <c r="AR24">
        <f>IF(AQ24="",0,INDEX(データベース!R$2:R$27,MATCH(AQ24,データベース!Q$2:Q$27,0)))</f>
        <v>0</v>
      </c>
      <c r="AT24">
        <f>IF(AS24="",0,INDEX(データベース!T$2:T$4,MATCH(AS24,データベース!S$2:S$4,0)))</f>
        <v>0</v>
      </c>
      <c r="AV24">
        <f>IF(AU24="",0,INDEX(データベース!V$2:V$37,MATCH(AU24,データベース!U$2:U$37,0)))</f>
        <v>0</v>
      </c>
      <c r="AX24">
        <v>0</v>
      </c>
      <c r="AZ24">
        <v>0</v>
      </c>
      <c r="BB24">
        <v>0</v>
      </c>
    </row>
    <row r="25" spans="2:54">
      <c r="B25">
        <v>0</v>
      </c>
      <c r="G25">
        <f>IF(F25="",0,INDEX(データベース!D$2:D$4,MATCH(F25,データベース!C$2:C$4,0)))</f>
        <v>0</v>
      </c>
      <c r="J25" s="19" t="str">
        <f t="shared" si="0"/>
        <v>服装・</v>
      </c>
      <c r="L25" s="19" t="str">
        <f t="shared" si="1"/>
        <v>感情・</v>
      </c>
      <c r="N25" s="19" cm="1">
        <f t="array" aca="1" ref="N25" ca="1">IF(H25="",0,INDEX(データベース!$F$2:$F$5,MATCH(H25,データベース!$E$2:$E$5,0)))*1000
+IF(I25="",0,INDEX(データベース!$D$41:$D$44,MATCH(I25,OFFSET(データベース!$A$41,0,IF(H25="",0,INDEX(データベース!$F$2:$F$5,MATCH(H25,データベース!$E$2:$E$5,0)))-1,4,1),0),))*100
+IF(K25="",0,INDEX(データベース!$D$48:$D$52,MATCH(K25,OFFSET(データベース!$A$48,0,IF(H25="",0,INDEX(データベース!$F$2:$F$5,MATCH(H25,データベース!$E$2:$E$5,0)))-1,5,1),0),))*10
+IF(M25="",0,INDEX(データベース!$D$56:$D$62,MATCH(M25,OFFSET(データベース!$A$56,0,IF(H25="",0,INDEX(データベース!$F$2:$F$5,MATCH(H25,データベース!$E$2:$E$5,0)))-1,7,1),0),))</f>
        <v>0</v>
      </c>
      <c r="P25">
        <f>IF(O25="",0,INDEX(データベース!$H$2:$H$4,MATCH(O25,データベース!$G$2:$G$4,0)))</f>
        <v>0</v>
      </c>
      <c r="S25" s="18" t="str">
        <f t="shared" si="2"/>
        <v>服装・</v>
      </c>
      <c r="U25" s="18" t="str">
        <f t="shared" si="3"/>
        <v>感情・</v>
      </c>
      <c r="W25" s="18" cm="1">
        <f t="array" aca="1" ref="W25" ca="1">IF(Q25="",0,INDEX(データベース!$F$2:$F$5,MATCH(Q25,データベース!$E$2:$E$5,0)))*1000
+IF(R25="",0,INDEX(データベース!$D$41:$D$44,MATCH(R25,OFFSET(データベース!$A$41,0,IF(Q25="",0,INDEX(データベース!$F$2:$F$5,MATCH(Q25,データベース!$E$2:$E$5,0)))-1,4,1),0),))*100
+IF(T25="",0,INDEX(データベース!$D$48:$D$52,MATCH(T25,OFFSET(データベース!$A$48,0,IF(Q25="",0,INDEX(データベース!$F$2:$F$5,MATCH(Q25,データベース!$E$2:$E$5,0)))-1,5,1),0),))*10
+IF(V25="",0,INDEX(データベース!$D$56:$D$62,MATCH(V25,OFFSET(データベース!$A$56,0,IF(Q25="",0,INDEX(データベース!$F$2:$F$5,MATCH(Q25,データベース!$E$2:$E$5,0)))-1,7,1),0),))</f>
        <v>0</v>
      </c>
      <c r="Y25">
        <f>IF(X25="",0,INDEX(データベース!$H$2:$H$4,MATCH(X25,データベース!$G$2:$G$4,0)))</f>
        <v>0</v>
      </c>
      <c r="AB25" s="9" t="str">
        <f t="shared" si="4"/>
        <v>服装・</v>
      </c>
      <c r="AD25" s="9" t="str">
        <f t="shared" si="5"/>
        <v>感情・</v>
      </c>
      <c r="AF25" s="9" cm="1">
        <f t="array" aca="1" ref="AF25" ca="1">IF(Z25="",0,INDEX(データベース!$F$2:$F$5,MATCH(Z25,データベース!$E$2:$E$5,0)))*1000
+IF(AA25="",0,INDEX(データベース!$D$41:$D$44,MATCH(AA25,OFFSET(データベース!$A$41,0,IF(Z25="",0,INDEX(データベース!$F$2:$F$5,MATCH(Z25,データベース!$E$2:$E$5,0)))-1,4,1),0),))*100
+IF(AC25="",0,INDEX(データベース!$D$48:$D$52,MATCH(AC25,OFFSET(データベース!$A$48,0,IF(Z25="",0,INDEX(データベース!$F$2:$F$5,MATCH(Z25,データベース!$E$2:$E$5,0)))-1,5,1),0),))*10
+IF(AE25="",0,INDEX(データベース!$D$56:$D$62,MATCH(AE25,OFFSET(データベース!$A$56,0,IF(Z25="",0,INDEX(データベース!$F$2:$F$5,MATCH(Z25,データベース!$E$2:$E$5,0)))-1,7,1),0),))</f>
        <v>0</v>
      </c>
      <c r="AH25">
        <f>IF(AG25="",0,INDEX(データベース!$H$2:$H$4,MATCH(AG25,データベース!$G$2:$G$4,0)))</f>
        <v>0</v>
      </c>
      <c r="AJ25">
        <f>IF(AI25="",0,INDEX(データベース!J$2:J$2,MATCH(AI25,データベース!I$2:I$2,0)))</f>
        <v>0</v>
      </c>
      <c r="AL25">
        <f>IF(AK25="",0,INDEX(データベース!L$2:L$3,MATCH(AK25,データベース!K$2:K$3,0)))</f>
        <v>0</v>
      </c>
      <c r="AN25">
        <f>IF(AM25="",0,INDEX(データベース!N$2:N$5,MATCH(AM25,データベース!M$2:M$5,0)))</f>
        <v>0</v>
      </c>
      <c r="AO25" s="4"/>
      <c r="AP25">
        <f>IF(AO25="",0,INDEX(データベース!P$2:P$3,MATCH(AO25,データベース!O$2:O$3,0)))</f>
        <v>0</v>
      </c>
      <c r="AR25">
        <f>IF(AQ25="",0,INDEX(データベース!R$2:R$27,MATCH(AQ25,データベース!Q$2:Q$27,0)))</f>
        <v>0</v>
      </c>
      <c r="AT25">
        <f>IF(AS25="",0,INDEX(データベース!T$2:T$4,MATCH(AS25,データベース!S$2:S$4,0)))</f>
        <v>0</v>
      </c>
      <c r="AV25">
        <f>IF(AU25="",0,INDEX(データベース!V$2:V$37,MATCH(AU25,データベース!U$2:U$37,0)))</f>
        <v>0</v>
      </c>
      <c r="AX25">
        <v>0</v>
      </c>
      <c r="AZ25">
        <v>0</v>
      </c>
      <c r="BB25">
        <v>0</v>
      </c>
    </row>
    <row r="26" spans="2:54">
      <c r="B26">
        <v>0</v>
      </c>
      <c r="G26">
        <f>IF(F26="",0,INDEX(データベース!D$2:D$4,MATCH(F26,データベース!C$2:C$4,0)))</f>
        <v>0</v>
      </c>
      <c r="J26" s="19" t="str">
        <f t="shared" si="0"/>
        <v>服装・</v>
      </c>
      <c r="L26" s="19" t="str">
        <f t="shared" si="1"/>
        <v>感情・</v>
      </c>
      <c r="N26" s="19" cm="1">
        <f t="array" aca="1" ref="N26" ca="1">IF(H26="",0,INDEX(データベース!$F$2:$F$5,MATCH(H26,データベース!$E$2:$E$5,0)))*1000
+IF(I26="",0,INDEX(データベース!$D$41:$D$44,MATCH(I26,OFFSET(データベース!$A$41,0,IF(H26="",0,INDEX(データベース!$F$2:$F$5,MATCH(H26,データベース!$E$2:$E$5,0)))-1,4,1),0),))*100
+IF(K26="",0,INDEX(データベース!$D$48:$D$52,MATCH(K26,OFFSET(データベース!$A$48,0,IF(H26="",0,INDEX(データベース!$F$2:$F$5,MATCH(H26,データベース!$E$2:$E$5,0)))-1,5,1),0),))*10
+IF(M26="",0,INDEX(データベース!$D$56:$D$62,MATCH(M26,OFFSET(データベース!$A$56,0,IF(H26="",0,INDEX(データベース!$F$2:$F$5,MATCH(H26,データベース!$E$2:$E$5,0)))-1,7,1),0),))</f>
        <v>0</v>
      </c>
      <c r="P26">
        <f>IF(O26="",0,INDEX(データベース!$H$2:$H$4,MATCH(O26,データベース!$G$2:$G$4,0)))</f>
        <v>0</v>
      </c>
      <c r="S26" s="18" t="str">
        <f t="shared" si="2"/>
        <v>服装・</v>
      </c>
      <c r="U26" s="18" t="str">
        <f t="shared" si="3"/>
        <v>感情・</v>
      </c>
      <c r="W26" s="18" cm="1">
        <f t="array" aca="1" ref="W26" ca="1">IF(Q26="",0,INDEX(データベース!$F$2:$F$5,MATCH(Q26,データベース!$E$2:$E$5,0)))*1000
+IF(R26="",0,INDEX(データベース!$D$41:$D$44,MATCH(R26,OFFSET(データベース!$A$41,0,IF(Q26="",0,INDEX(データベース!$F$2:$F$5,MATCH(Q26,データベース!$E$2:$E$5,0)))-1,4,1),0),))*100
+IF(T26="",0,INDEX(データベース!$D$48:$D$52,MATCH(T26,OFFSET(データベース!$A$48,0,IF(Q26="",0,INDEX(データベース!$F$2:$F$5,MATCH(Q26,データベース!$E$2:$E$5,0)))-1,5,1),0),))*10
+IF(V26="",0,INDEX(データベース!$D$56:$D$62,MATCH(V26,OFFSET(データベース!$A$56,0,IF(Q26="",0,INDEX(データベース!$F$2:$F$5,MATCH(Q26,データベース!$E$2:$E$5,0)))-1,7,1),0),))</f>
        <v>0</v>
      </c>
      <c r="Y26">
        <f>IF(X26="",0,INDEX(データベース!$H$2:$H$4,MATCH(X26,データベース!$G$2:$G$4,0)))</f>
        <v>0</v>
      </c>
      <c r="AB26" s="9" t="str">
        <f t="shared" si="4"/>
        <v>服装・</v>
      </c>
      <c r="AD26" s="9" t="str">
        <f t="shared" si="5"/>
        <v>感情・</v>
      </c>
      <c r="AF26" s="9" cm="1">
        <f t="array" aca="1" ref="AF26" ca="1">IF(Z26="",0,INDEX(データベース!$F$2:$F$5,MATCH(Z26,データベース!$E$2:$E$5,0)))*1000
+IF(AA26="",0,INDEX(データベース!$D$41:$D$44,MATCH(AA26,OFFSET(データベース!$A$41,0,IF(Z26="",0,INDEX(データベース!$F$2:$F$5,MATCH(Z26,データベース!$E$2:$E$5,0)))-1,4,1),0),))*100
+IF(AC26="",0,INDEX(データベース!$D$48:$D$52,MATCH(AC26,OFFSET(データベース!$A$48,0,IF(Z26="",0,INDEX(データベース!$F$2:$F$5,MATCH(Z26,データベース!$E$2:$E$5,0)))-1,5,1),0),))*10
+IF(AE26="",0,INDEX(データベース!$D$56:$D$62,MATCH(AE26,OFFSET(データベース!$A$56,0,IF(Z26="",0,INDEX(データベース!$F$2:$F$5,MATCH(Z26,データベース!$E$2:$E$5,0)))-1,7,1),0),))</f>
        <v>0</v>
      </c>
      <c r="AH26">
        <f>IF(AG26="",0,INDEX(データベース!$H$2:$H$4,MATCH(AG26,データベース!$G$2:$G$4,0)))</f>
        <v>0</v>
      </c>
      <c r="AJ26">
        <f>IF(AI26="",0,INDEX(データベース!J$2:J$2,MATCH(AI26,データベース!I$2:I$2,0)))</f>
        <v>0</v>
      </c>
      <c r="AL26">
        <f>IF(AK26="",0,INDEX(データベース!L$2:L$3,MATCH(AK26,データベース!K$2:K$3,0)))</f>
        <v>0</v>
      </c>
      <c r="AN26">
        <f>IF(AM26="",0,INDEX(データベース!N$2:N$5,MATCH(AM26,データベース!M$2:M$5,0)))</f>
        <v>0</v>
      </c>
      <c r="AO26" s="4"/>
      <c r="AP26">
        <f>IF(AO26="",0,INDEX(データベース!P$2:P$3,MATCH(AO26,データベース!O$2:O$3,0)))</f>
        <v>0</v>
      </c>
      <c r="AR26">
        <f>IF(AQ26="",0,INDEX(データベース!R$2:R$27,MATCH(AQ26,データベース!Q$2:Q$27,0)))</f>
        <v>0</v>
      </c>
      <c r="AT26">
        <f>IF(AS26="",0,INDEX(データベース!T$2:T$4,MATCH(AS26,データベース!S$2:S$4,0)))</f>
        <v>0</v>
      </c>
      <c r="AV26">
        <f>IF(AU26="",0,INDEX(データベース!V$2:V$37,MATCH(AU26,データベース!U$2:U$37,0)))</f>
        <v>0</v>
      </c>
      <c r="AX26">
        <v>0</v>
      </c>
      <c r="AZ26">
        <v>0</v>
      </c>
      <c r="BB26">
        <v>0</v>
      </c>
    </row>
    <row r="27" spans="2:54">
      <c r="B27">
        <v>0</v>
      </c>
      <c r="G27">
        <f>IF(F27="",0,INDEX(データベース!D$2:D$4,MATCH(F27,データベース!C$2:C$4,0)))</f>
        <v>0</v>
      </c>
      <c r="J27" s="19" t="str">
        <f t="shared" si="0"/>
        <v>服装・</v>
      </c>
      <c r="L27" s="19" t="str">
        <f t="shared" si="1"/>
        <v>感情・</v>
      </c>
      <c r="N27" s="19" cm="1">
        <f t="array" aca="1" ref="N27" ca="1">IF(H27="",0,INDEX(データベース!$F$2:$F$5,MATCH(H27,データベース!$E$2:$E$5,0)))*1000
+IF(I27="",0,INDEX(データベース!$D$41:$D$44,MATCH(I27,OFFSET(データベース!$A$41,0,IF(H27="",0,INDEX(データベース!$F$2:$F$5,MATCH(H27,データベース!$E$2:$E$5,0)))-1,4,1),0),))*100
+IF(K27="",0,INDEX(データベース!$D$48:$D$52,MATCH(K27,OFFSET(データベース!$A$48,0,IF(H27="",0,INDEX(データベース!$F$2:$F$5,MATCH(H27,データベース!$E$2:$E$5,0)))-1,5,1),0),))*10
+IF(M27="",0,INDEX(データベース!$D$56:$D$62,MATCH(M27,OFFSET(データベース!$A$56,0,IF(H27="",0,INDEX(データベース!$F$2:$F$5,MATCH(H27,データベース!$E$2:$E$5,0)))-1,7,1),0),))</f>
        <v>0</v>
      </c>
      <c r="P27">
        <f>IF(O27="",0,INDEX(データベース!$H$2:$H$4,MATCH(O27,データベース!$G$2:$G$4,0)))</f>
        <v>0</v>
      </c>
      <c r="S27" s="18" t="str">
        <f t="shared" si="2"/>
        <v>服装・</v>
      </c>
      <c r="U27" s="18" t="str">
        <f t="shared" si="3"/>
        <v>感情・</v>
      </c>
      <c r="W27" s="18" cm="1">
        <f t="array" aca="1" ref="W27" ca="1">IF(Q27="",0,INDEX(データベース!$F$2:$F$5,MATCH(Q27,データベース!$E$2:$E$5,0)))*1000
+IF(R27="",0,INDEX(データベース!$D$41:$D$44,MATCH(R27,OFFSET(データベース!$A$41,0,IF(Q27="",0,INDEX(データベース!$F$2:$F$5,MATCH(Q27,データベース!$E$2:$E$5,0)))-1,4,1),0),))*100
+IF(T27="",0,INDEX(データベース!$D$48:$D$52,MATCH(T27,OFFSET(データベース!$A$48,0,IF(Q27="",0,INDEX(データベース!$F$2:$F$5,MATCH(Q27,データベース!$E$2:$E$5,0)))-1,5,1),0),))*10
+IF(V27="",0,INDEX(データベース!$D$56:$D$62,MATCH(V27,OFFSET(データベース!$A$56,0,IF(Q27="",0,INDEX(データベース!$F$2:$F$5,MATCH(Q27,データベース!$E$2:$E$5,0)))-1,7,1),0),))</f>
        <v>0</v>
      </c>
      <c r="Y27">
        <f>IF(X27="",0,INDEX(データベース!$H$2:$H$4,MATCH(X27,データベース!$G$2:$G$4,0)))</f>
        <v>0</v>
      </c>
      <c r="AB27" s="9" t="str">
        <f t="shared" si="4"/>
        <v>服装・</v>
      </c>
      <c r="AD27" s="9" t="str">
        <f t="shared" si="5"/>
        <v>感情・</v>
      </c>
      <c r="AF27" s="9" cm="1">
        <f t="array" aca="1" ref="AF27" ca="1">IF(Z27="",0,INDEX(データベース!$F$2:$F$5,MATCH(Z27,データベース!$E$2:$E$5,0)))*1000
+IF(AA27="",0,INDEX(データベース!$D$41:$D$44,MATCH(AA27,OFFSET(データベース!$A$41,0,IF(Z27="",0,INDEX(データベース!$F$2:$F$5,MATCH(Z27,データベース!$E$2:$E$5,0)))-1,4,1),0),))*100
+IF(AC27="",0,INDEX(データベース!$D$48:$D$52,MATCH(AC27,OFFSET(データベース!$A$48,0,IF(Z27="",0,INDEX(データベース!$F$2:$F$5,MATCH(Z27,データベース!$E$2:$E$5,0)))-1,5,1),0),))*10
+IF(AE27="",0,INDEX(データベース!$D$56:$D$62,MATCH(AE27,OFFSET(データベース!$A$56,0,IF(Z27="",0,INDEX(データベース!$F$2:$F$5,MATCH(Z27,データベース!$E$2:$E$5,0)))-1,7,1),0),))</f>
        <v>0</v>
      </c>
      <c r="AH27">
        <f>IF(AG27="",0,INDEX(データベース!$H$2:$H$4,MATCH(AG27,データベース!$G$2:$G$4,0)))</f>
        <v>0</v>
      </c>
      <c r="AJ27">
        <f>IF(AI27="",0,INDEX(データベース!J$2:J$2,MATCH(AI27,データベース!I$2:I$2,0)))</f>
        <v>0</v>
      </c>
      <c r="AL27">
        <f>IF(AK27="",0,INDEX(データベース!L$2:L$3,MATCH(AK27,データベース!K$2:K$3,0)))</f>
        <v>0</v>
      </c>
      <c r="AN27">
        <f>IF(AM27="",0,INDEX(データベース!N$2:N$5,MATCH(AM27,データベース!M$2:M$5,0)))</f>
        <v>0</v>
      </c>
      <c r="AO27" s="4"/>
      <c r="AP27">
        <f>IF(AO27="",0,INDEX(データベース!P$2:P$3,MATCH(AO27,データベース!O$2:O$3,0)))</f>
        <v>0</v>
      </c>
      <c r="AR27">
        <f>IF(AQ27="",0,INDEX(データベース!R$2:R$27,MATCH(AQ27,データベース!Q$2:Q$27,0)))</f>
        <v>0</v>
      </c>
      <c r="AT27">
        <f>IF(AS27="",0,INDEX(データベース!T$2:T$4,MATCH(AS27,データベース!S$2:S$4,0)))</f>
        <v>0</v>
      </c>
      <c r="AV27">
        <f>IF(AU27="",0,INDEX(データベース!V$2:V$37,MATCH(AU27,データベース!U$2:U$37,0)))</f>
        <v>0</v>
      </c>
      <c r="AX27">
        <v>0</v>
      </c>
      <c r="AZ27">
        <v>0</v>
      </c>
      <c r="BB27">
        <v>0</v>
      </c>
    </row>
    <row r="28" spans="2:54">
      <c r="B28">
        <v>0</v>
      </c>
      <c r="G28">
        <f>IF(F28="",0,INDEX(データベース!D$2:D$4,MATCH(F28,データベース!C$2:C$4,0)))</f>
        <v>0</v>
      </c>
      <c r="J28" s="19" t="str">
        <f t="shared" si="0"/>
        <v>服装・</v>
      </c>
      <c r="L28" s="19" t="str">
        <f t="shared" si="1"/>
        <v>感情・</v>
      </c>
      <c r="N28" s="19" cm="1">
        <f t="array" aca="1" ref="N28" ca="1">IF(H28="",0,INDEX(データベース!$F$2:$F$5,MATCH(H28,データベース!$E$2:$E$5,0)))*1000
+IF(I28="",0,INDEX(データベース!$D$41:$D$44,MATCH(I28,OFFSET(データベース!$A$41,0,IF(H28="",0,INDEX(データベース!$F$2:$F$5,MATCH(H28,データベース!$E$2:$E$5,0)))-1,4,1),0),))*100
+IF(K28="",0,INDEX(データベース!$D$48:$D$52,MATCH(K28,OFFSET(データベース!$A$48,0,IF(H28="",0,INDEX(データベース!$F$2:$F$5,MATCH(H28,データベース!$E$2:$E$5,0)))-1,5,1),0),))*10
+IF(M28="",0,INDEX(データベース!$D$56:$D$62,MATCH(M28,OFFSET(データベース!$A$56,0,IF(H28="",0,INDEX(データベース!$F$2:$F$5,MATCH(H28,データベース!$E$2:$E$5,0)))-1,7,1),0),))</f>
        <v>0</v>
      </c>
      <c r="P28">
        <f>IF(O28="",0,INDEX(データベース!$H$2:$H$4,MATCH(O28,データベース!$G$2:$G$4,0)))</f>
        <v>0</v>
      </c>
      <c r="S28" s="18" t="str">
        <f t="shared" si="2"/>
        <v>服装・</v>
      </c>
      <c r="U28" s="18" t="str">
        <f t="shared" si="3"/>
        <v>感情・</v>
      </c>
      <c r="W28" s="18" cm="1">
        <f t="array" aca="1" ref="W28" ca="1">IF(Q28="",0,INDEX(データベース!$F$2:$F$5,MATCH(Q28,データベース!$E$2:$E$5,0)))*1000
+IF(R28="",0,INDEX(データベース!$D$41:$D$44,MATCH(R28,OFFSET(データベース!$A$41,0,IF(Q28="",0,INDEX(データベース!$F$2:$F$5,MATCH(Q28,データベース!$E$2:$E$5,0)))-1,4,1),0),))*100
+IF(T28="",0,INDEX(データベース!$D$48:$D$52,MATCH(T28,OFFSET(データベース!$A$48,0,IF(Q28="",0,INDEX(データベース!$F$2:$F$5,MATCH(Q28,データベース!$E$2:$E$5,0)))-1,5,1),0),))*10
+IF(V28="",0,INDEX(データベース!$D$56:$D$62,MATCH(V28,OFFSET(データベース!$A$56,0,IF(Q28="",0,INDEX(データベース!$F$2:$F$5,MATCH(Q28,データベース!$E$2:$E$5,0)))-1,7,1),0),))</f>
        <v>0</v>
      </c>
      <c r="Y28">
        <f>IF(X28="",0,INDEX(データベース!$H$2:$H$4,MATCH(X28,データベース!$G$2:$G$4,0)))</f>
        <v>0</v>
      </c>
      <c r="AB28" s="9" t="str">
        <f t="shared" si="4"/>
        <v>服装・</v>
      </c>
      <c r="AD28" s="9" t="str">
        <f t="shared" si="5"/>
        <v>感情・</v>
      </c>
      <c r="AF28" s="9" cm="1">
        <f t="array" aca="1" ref="AF28" ca="1">IF(Z28="",0,INDEX(データベース!$F$2:$F$5,MATCH(Z28,データベース!$E$2:$E$5,0)))*1000
+IF(AA28="",0,INDEX(データベース!$D$41:$D$44,MATCH(AA28,OFFSET(データベース!$A$41,0,IF(Z28="",0,INDEX(データベース!$F$2:$F$5,MATCH(Z28,データベース!$E$2:$E$5,0)))-1,4,1),0),))*100
+IF(AC28="",0,INDEX(データベース!$D$48:$D$52,MATCH(AC28,OFFSET(データベース!$A$48,0,IF(Z28="",0,INDEX(データベース!$F$2:$F$5,MATCH(Z28,データベース!$E$2:$E$5,0)))-1,5,1),0),))*10
+IF(AE28="",0,INDEX(データベース!$D$56:$D$62,MATCH(AE28,OFFSET(データベース!$A$56,0,IF(Z28="",0,INDEX(データベース!$F$2:$F$5,MATCH(Z28,データベース!$E$2:$E$5,0)))-1,7,1),0),))</f>
        <v>0</v>
      </c>
      <c r="AH28">
        <f>IF(AG28="",0,INDEX(データベース!$H$2:$H$4,MATCH(AG28,データベース!$G$2:$G$4,0)))</f>
        <v>0</v>
      </c>
      <c r="AJ28">
        <f>IF(AI28="",0,INDEX(データベース!J$2:J$2,MATCH(AI28,データベース!I$2:I$2,0)))</f>
        <v>0</v>
      </c>
      <c r="AL28">
        <f>IF(AK28="",0,INDEX(データベース!L$2:L$3,MATCH(AK28,データベース!K$2:K$3,0)))</f>
        <v>0</v>
      </c>
      <c r="AN28">
        <f>IF(AM28="",0,INDEX(データベース!N$2:N$5,MATCH(AM28,データベース!M$2:M$5,0)))</f>
        <v>0</v>
      </c>
      <c r="AO28" s="4"/>
      <c r="AP28">
        <f>IF(AO28="",0,INDEX(データベース!P$2:P$3,MATCH(AO28,データベース!O$2:O$3,0)))</f>
        <v>0</v>
      </c>
      <c r="AR28">
        <f>IF(AQ28="",0,INDEX(データベース!R$2:R$27,MATCH(AQ28,データベース!Q$2:Q$27,0)))</f>
        <v>0</v>
      </c>
      <c r="AT28">
        <f>IF(AS28="",0,INDEX(データベース!T$2:T$4,MATCH(AS28,データベース!S$2:S$4,0)))</f>
        <v>0</v>
      </c>
      <c r="AV28">
        <f>IF(AU28="",0,INDEX(データベース!V$2:V$37,MATCH(AU28,データベース!U$2:U$37,0)))</f>
        <v>0</v>
      </c>
      <c r="AX28">
        <v>0</v>
      </c>
      <c r="AZ28">
        <v>0</v>
      </c>
      <c r="BB28">
        <v>0</v>
      </c>
    </row>
    <row r="29" spans="2:54">
      <c r="B29">
        <v>0</v>
      </c>
      <c r="G29">
        <f>IF(F29="",0,INDEX(データベース!D$2:D$4,MATCH(F29,データベース!C$2:C$4,0)))</f>
        <v>0</v>
      </c>
      <c r="J29" s="19" t="str">
        <f t="shared" si="0"/>
        <v>服装・</v>
      </c>
      <c r="L29" s="19" t="str">
        <f t="shared" si="1"/>
        <v>感情・</v>
      </c>
      <c r="N29" s="19" cm="1">
        <f t="array" aca="1" ref="N29" ca="1">IF(H29="",0,INDEX(データベース!$F$2:$F$5,MATCH(H29,データベース!$E$2:$E$5,0)))*1000
+IF(I29="",0,INDEX(データベース!$D$41:$D$44,MATCH(I29,OFFSET(データベース!$A$41,0,IF(H29="",0,INDEX(データベース!$F$2:$F$5,MATCH(H29,データベース!$E$2:$E$5,0)))-1,4,1),0),))*100
+IF(K29="",0,INDEX(データベース!$D$48:$D$52,MATCH(K29,OFFSET(データベース!$A$48,0,IF(H29="",0,INDEX(データベース!$F$2:$F$5,MATCH(H29,データベース!$E$2:$E$5,0)))-1,5,1),0),))*10
+IF(M29="",0,INDEX(データベース!$D$56:$D$62,MATCH(M29,OFFSET(データベース!$A$56,0,IF(H29="",0,INDEX(データベース!$F$2:$F$5,MATCH(H29,データベース!$E$2:$E$5,0)))-1,7,1),0),))</f>
        <v>0</v>
      </c>
      <c r="P29">
        <f>IF(O29="",0,INDEX(データベース!$H$2:$H$4,MATCH(O29,データベース!$G$2:$G$4,0)))</f>
        <v>0</v>
      </c>
      <c r="S29" s="18" t="str">
        <f t="shared" si="2"/>
        <v>服装・</v>
      </c>
      <c r="U29" s="18" t="str">
        <f t="shared" si="3"/>
        <v>感情・</v>
      </c>
      <c r="W29" s="18" cm="1">
        <f t="array" aca="1" ref="W29" ca="1">IF(Q29="",0,INDEX(データベース!$F$2:$F$5,MATCH(Q29,データベース!$E$2:$E$5,0)))*1000
+IF(R29="",0,INDEX(データベース!$D$41:$D$44,MATCH(R29,OFFSET(データベース!$A$41,0,IF(Q29="",0,INDEX(データベース!$F$2:$F$5,MATCH(Q29,データベース!$E$2:$E$5,0)))-1,4,1),0),))*100
+IF(T29="",0,INDEX(データベース!$D$48:$D$52,MATCH(T29,OFFSET(データベース!$A$48,0,IF(Q29="",0,INDEX(データベース!$F$2:$F$5,MATCH(Q29,データベース!$E$2:$E$5,0)))-1,5,1),0),))*10
+IF(V29="",0,INDEX(データベース!$D$56:$D$62,MATCH(V29,OFFSET(データベース!$A$56,0,IF(Q29="",0,INDEX(データベース!$F$2:$F$5,MATCH(Q29,データベース!$E$2:$E$5,0)))-1,7,1),0),))</f>
        <v>0</v>
      </c>
      <c r="Y29">
        <f>IF(X29="",0,INDEX(データベース!$H$2:$H$4,MATCH(X29,データベース!$G$2:$G$4,0)))</f>
        <v>0</v>
      </c>
      <c r="AB29" s="9" t="str">
        <f t="shared" si="4"/>
        <v>服装・</v>
      </c>
      <c r="AD29" s="9" t="str">
        <f t="shared" si="5"/>
        <v>感情・</v>
      </c>
      <c r="AF29" s="9" cm="1">
        <f t="array" aca="1" ref="AF29" ca="1">IF(Z29="",0,INDEX(データベース!$F$2:$F$5,MATCH(Z29,データベース!$E$2:$E$5,0)))*1000
+IF(AA29="",0,INDEX(データベース!$D$41:$D$44,MATCH(AA29,OFFSET(データベース!$A$41,0,IF(Z29="",0,INDEX(データベース!$F$2:$F$5,MATCH(Z29,データベース!$E$2:$E$5,0)))-1,4,1),0),))*100
+IF(AC29="",0,INDEX(データベース!$D$48:$D$52,MATCH(AC29,OFFSET(データベース!$A$48,0,IF(Z29="",0,INDEX(データベース!$F$2:$F$5,MATCH(Z29,データベース!$E$2:$E$5,0)))-1,5,1),0),))*10
+IF(AE29="",0,INDEX(データベース!$D$56:$D$62,MATCH(AE29,OFFSET(データベース!$A$56,0,IF(Z29="",0,INDEX(データベース!$F$2:$F$5,MATCH(Z29,データベース!$E$2:$E$5,0)))-1,7,1),0),))</f>
        <v>0</v>
      </c>
      <c r="AH29">
        <f>IF(AG29="",0,INDEX(データベース!$H$2:$H$4,MATCH(AG29,データベース!$G$2:$G$4,0)))</f>
        <v>0</v>
      </c>
      <c r="AJ29">
        <f>IF(AI29="",0,INDEX(データベース!J$2:J$2,MATCH(AI29,データベース!I$2:I$2,0)))</f>
        <v>0</v>
      </c>
      <c r="AL29">
        <f>IF(AK29="",0,INDEX(データベース!L$2:L$3,MATCH(AK29,データベース!K$2:K$3,0)))</f>
        <v>0</v>
      </c>
      <c r="AN29">
        <f>IF(AM29="",0,INDEX(データベース!N$2:N$5,MATCH(AM29,データベース!M$2:M$5,0)))</f>
        <v>0</v>
      </c>
      <c r="AO29" s="4"/>
      <c r="AP29">
        <f>IF(AO29="",0,INDEX(データベース!P$2:P$3,MATCH(AO29,データベース!O$2:O$3,0)))</f>
        <v>0</v>
      </c>
      <c r="AR29">
        <f>IF(AQ29="",0,INDEX(データベース!R$2:R$27,MATCH(AQ29,データベース!Q$2:Q$27,0)))</f>
        <v>0</v>
      </c>
      <c r="AT29">
        <f>IF(AS29="",0,INDEX(データベース!T$2:T$4,MATCH(AS29,データベース!S$2:S$4,0)))</f>
        <v>0</v>
      </c>
      <c r="AV29">
        <f>IF(AU29="",0,INDEX(データベース!V$2:V$37,MATCH(AU29,データベース!U$2:U$37,0)))</f>
        <v>0</v>
      </c>
      <c r="AX29">
        <v>0</v>
      </c>
      <c r="AZ29">
        <v>0</v>
      </c>
      <c r="BB29">
        <v>0</v>
      </c>
    </row>
    <row r="30" spans="2:54">
      <c r="B30">
        <v>0</v>
      </c>
      <c r="G30">
        <f>IF(F30="",0,INDEX(データベース!D$2:D$4,MATCH(F30,データベース!C$2:C$4,0)))</f>
        <v>0</v>
      </c>
      <c r="J30" s="19" t="str">
        <f t="shared" si="0"/>
        <v>服装・</v>
      </c>
      <c r="L30" s="19" t="str">
        <f t="shared" si="1"/>
        <v>感情・</v>
      </c>
      <c r="N30" s="19" cm="1">
        <f t="array" aca="1" ref="N30" ca="1">IF(H30="",0,INDEX(データベース!$F$2:$F$5,MATCH(H30,データベース!$E$2:$E$5,0)))*1000
+IF(I30="",0,INDEX(データベース!$D$41:$D$44,MATCH(I30,OFFSET(データベース!$A$41,0,IF(H30="",0,INDEX(データベース!$F$2:$F$5,MATCH(H30,データベース!$E$2:$E$5,0)))-1,4,1),0),))*100
+IF(K30="",0,INDEX(データベース!$D$48:$D$52,MATCH(K30,OFFSET(データベース!$A$48,0,IF(H30="",0,INDEX(データベース!$F$2:$F$5,MATCH(H30,データベース!$E$2:$E$5,0)))-1,5,1),0),))*10
+IF(M30="",0,INDEX(データベース!$D$56:$D$62,MATCH(M30,OFFSET(データベース!$A$56,0,IF(H30="",0,INDEX(データベース!$F$2:$F$5,MATCH(H30,データベース!$E$2:$E$5,0)))-1,7,1),0),))</f>
        <v>0</v>
      </c>
      <c r="P30">
        <f>IF(O30="",0,INDEX(データベース!$H$2:$H$4,MATCH(O30,データベース!$G$2:$G$4,0)))</f>
        <v>0</v>
      </c>
      <c r="S30" s="18" t="str">
        <f t="shared" si="2"/>
        <v>服装・</v>
      </c>
      <c r="U30" s="18" t="str">
        <f t="shared" si="3"/>
        <v>感情・</v>
      </c>
      <c r="W30" s="18" cm="1">
        <f t="array" aca="1" ref="W30" ca="1">IF(Q30="",0,INDEX(データベース!$F$2:$F$5,MATCH(Q30,データベース!$E$2:$E$5,0)))*1000
+IF(R30="",0,INDEX(データベース!$D$41:$D$44,MATCH(R30,OFFSET(データベース!$A$41,0,IF(Q30="",0,INDEX(データベース!$F$2:$F$5,MATCH(Q30,データベース!$E$2:$E$5,0)))-1,4,1),0),))*100
+IF(T30="",0,INDEX(データベース!$D$48:$D$52,MATCH(T30,OFFSET(データベース!$A$48,0,IF(Q30="",0,INDEX(データベース!$F$2:$F$5,MATCH(Q30,データベース!$E$2:$E$5,0)))-1,5,1),0),))*10
+IF(V30="",0,INDEX(データベース!$D$56:$D$62,MATCH(V30,OFFSET(データベース!$A$56,0,IF(Q30="",0,INDEX(データベース!$F$2:$F$5,MATCH(Q30,データベース!$E$2:$E$5,0)))-1,7,1),0),))</f>
        <v>0</v>
      </c>
      <c r="Y30">
        <f>IF(X30="",0,INDEX(データベース!$H$2:$H$4,MATCH(X30,データベース!$G$2:$G$4,0)))</f>
        <v>0</v>
      </c>
      <c r="AB30" s="9" t="str">
        <f t="shared" si="4"/>
        <v>服装・</v>
      </c>
      <c r="AD30" s="9" t="str">
        <f t="shared" si="5"/>
        <v>感情・</v>
      </c>
      <c r="AF30" s="9" cm="1">
        <f t="array" aca="1" ref="AF30" ca="1">IF(Z30="",0,INDEX(データベース!$F$2:$F$5,MATCH(Z30,データベース!$E$2:$E$5,0)))*1000
+IF(AA30="",0,INDEX(データベース!$D$41:$D$44,MATCH(AA30,OFFSET(データベース!$A$41,0,IF(Z30="",0,INDEX(データベース!$F$2:$F$5,MATCH(Z30,データベース!$E$2:$E$5,0)))-1,4,1),0),))*100
+IF(AC30="",0,INDEX(データベース!$D$48:$D$52,MATCH(AC30,OFFSET(データベース!$A$48,0,IF(Z30="",0,INDEX(データベース!$F$2:$F$5,MATCH(Z30,データベース!$E$2:$E$5,0)))-1,5,1),0),))*10
+IF(AE30="",0,INDEX(データベース!$D$56:$D$62,MATCH(AE30,OFFSET(データベース!$A$56,0,IF(Z30="",0,INDEX(データベース!$F$2:$F$5,MATCH(Z30,データベース!$E$2:$E$5,0)))-1,7,1),0),))</f>
        <v>0</v>
      </c>
      <c r="AH30">
        <f>IF(AG30="",0,INDEX(データベース!$H$2:$H$4,MATCH(AG30,データベース!$G$2:$G$4,0)))</f>
        <v>0</v>
      </c>
      <c r="AJ30">
        <f>IF(AI30="",0,INDEX(データベース!J$2:J$2,MATCH(AI30,データベース!I$2:I$2,0)))</f>
        <v>0</v>
      </c>
      <c r="AL30">
        <f>IF(AK30="",0,INDEX(データベース!L$2:L$3,MATCH(AK30,データベース!K$2:K$3,0)))</f>
        <v>0</v>
      </c>
      <c r="AN30">
        <f>IF(AM30="",0,INDEX(データベース!N$2:N$5,MATCH(AM30,データベース!M$2:M$5,0)))</f>
        <v>0</v>
      </c>
      <c r="AO30" s="4"/>
      <c r="AP30">
        <f>IF(AO30="",0,INDEX(データベース!P$2:P$3,MATCH(AO30,データベース!O$2:O$3,0)))</f>
        <v>0</v>
      </c>
      <c r="AR30">
        <f>IF(AQ30="",0,INDEX(データベース!R$2:R$27,MATCH(AQ30,データベース!Q$2:Q$27,0)))</f>
        <v>0</v>
      </c>
      <c r="AT30">
        <f>IF(AS30="",0,INDEX(データベース!T$2:T$4,MATCH(AS30,データベース!S$2:S$4,0)))</f>
        <v>0</v>
      </c>
      <c r="AV30">
        <f>IF(AU30="",0,INDEX(データベース!V$2:V$37,MATCH(AU30,データベース!U$2:U$37,0)))</f>
        <v>0</v>
      </c>
      <c r="AX30">
        <v>0</v>
      </c>
      <c r="AZ30">
        <v>0</v>
      </c>
      <c r="BB30">
        <v>0</v>
      </c>
    </row>
    <row r="31" spans="2:54">
      <c r="B31">
        <v>0</v>
      </c>
      <c r="G31">
        <f>IF(F31="",0,INDEX(データベース!D$2:D$4,MATCH(F31,データベース!C$2:C$4,0)))</f>
        <v>0</v>
      </c>
      <c r="J31" s="19" t="str">
        <f t="shared" si="0"/>
        <v>服装・</v>
      </c>
      <c r="L31" s="19" t="str">
        <f t="shared" si="1"/>
        <v>感情・</v>
      </c>
      <c r="N31" s="19" cm="1">
        <f t="array" aca="1" ref="N31" ca="1">IF(H31="",0,INDEX(データベース!$F$2:$F$5,MATCH(H31,データベース!$E$2:$E$5,0)))*1000
+IF(I31="",0,INDEX(データベース!$D$41:$D$44,MATCH(I31,OFFSET(データベース!$A$41,0,IF(H31="",0,INDEX(データベース!$F$2:$F$5,MATCH(H31,データベース!$E$2:$E$5,0)))-1,4,1),0),))*100
+IF(K31="",0,INDEX(データベース!$D$48:$D$52,MATCH(K31,OFFSET(データベース!$A$48,0,IF(H31="",0,INDEX(データベース!$F$2:$F$5,MATCH(H31,データベース!$E$2:$E$5,0)))-1,5,1),0),))*10
+IF(M31="",0,INDEX(データベース!$D$56:$D$62,MATCH(M31,OFFSET(データベース!$A$56,0,IF(H31="",0,INDEX(データベース!$F$2:$F$5,MATCH(H31,データベース!$E$2:$E$5,0)))-1,7,1),0),))</f>
        <v>0</v>
      </c>
      <c r="P31">
        <f>IF(O31="",0,INDEX(データベース!$H$2:$H$4,MATCH(O31,データベース!$G$2:$G$4,0)))</f>
        <v>0</v>
      </c>
      <c r="S31" s="18" t="str">
        <f t="shared" si="2"/>
        <v>服装・</v>
      </c>
      <c r="U31" s="18" t="str">
        <f t="shared" si="3"/>
        <v>感情・</v>
      </c>
      <c r="W31" s="18" cm="1">
        <f t="array" aca="1" ref="W31" ca="1">IF(Q31="",0,INDEX(データベース!$F$2:$F$5,MATCH(Q31,データベース!$E$2:$E$5,0)))*1000
+IF(R31="",0,INDEX(データベース!$D$41:$D$44,MATCH(R31,OFFSET(データベース!$A$41,0,IF(Q31="",0,INDEX(データベース!$F$2:$F$5,MATCH(Q31,データベース!$E$2:$E$5,0)))-1,4,1),0),))*100
+IF(T31="",0,INDEX(データベース!$D$48:$D$52,MATCH(T31,OFFSET(データベース!$A$48,0,IF(Q31="",0,INDEX(データベース!$F$2:$F$5,MATCH(Q31,データベース!$E$2:$E$5,0)))-1,5,1),0),))*10
+IF(V31="",0,INDEX(データベース!$D$56:$D$62,MATCH(V31,OFFSET(データベース!$A$56,0,IF(Q31="",0,INDEX(データベース!$F$2:$F$5,MATCH(Q31,データベース!$E$2:$E$5,0)))-1,7,1),0),))</f>
        <v>0</v>
      </c>
      <c r="Y31">
        <f>IF(X31="",0,INDEX(データベース!$H$2:$H$4,MATCH(X31,データベース!$G$2:$G$4,0)))</f>
        <v>0</v>
      </c>
      <c r="AB31" s="9" t="str">
        <f t="shared" si="4"/>
        <v>服装・</v>
      </c>
      <c r="AD31" s="9" t="str">
        <f t="shared" si="5"/>
        <v>感情・</v>
      </c>
      <c r="AF31" s="9" cm="1">
        <f t="array" aca="1" ref="AF31" ca="1">IF(Z31="",0,INDEX(データベース!$F$2:$F$5,MATCH(Z31,データベース!$E$2:$E$5,0)))*1000
+IF(AA31="",0,INDEX(データベース!$D$41:$D$44,MATCH(AA31,OFFSET(データベース!$A$41,0,IF(Z31="",0,INDEX(データベース!$F$2:$F$5,MATCH(Z31,データベース!$E$2:$E$5,0)))-1,4,1),0),))*100
+IF(AC31="",0,INDEX(データベース!$D$48:$D$52,MATCH(AC31,OFFSET(データベース!$A$48,0,IF(Z31="",0,INDEX(データベース!$F$2:$F$5,MATCH(Z31,データベース!$E$2:$E$5,0)))-1,5,1),0),))*10
+IF(AE31="",0,INDEX(データベース!$D$56:$D$62,MATCH(AE31,OFFSET(データベース!$A$56,0,IF(Z31="",0,INDEX(データベース!$F$2:$F$5,MATCH(Z31,データベース!$E$2:$E$5,0)))-1,7,1),0),))</f>
        <v>0</v>
      </c>
      <c r="AH31">
        <f>IF(AG31="",0,INDEX(データベース!$H$2:$H$4,MATCH(AG31,データベース!$G$2:$G$4,0)))</f>
        <v>0</v>
      </c>
      <c r="AJ31">
        <f>IF(AI31="",0,INDEX(データベース!J$2:J$2,MATCH(AI31,データベース!I$2:I$2,0)))</f>
        <v>0</v>
      </c>
      <c r="AL31">
        <f>IF(AK31="",0,INDEX(データベース!L$2:L$3,MATCH(AK31,データベース!K$2:K$3,0)))</f>
        <v>0</v>
      </c>
      <c r="AN31">
        <f>IF(AM31="",0,INDEX(データベース!N$2:N$5,MATCH(AM31,データベース!M$2:M$5,0)))</f>
        <v>0</v>
      </c>
      <c r="AO31" s="4"/>
      <c r="AP31">
        <f>IF(AO31="",0,INDEX(データベース!P$2:P$3,MATCH(AO31,データベース!O$2:O$3,0)))</f>
        <v>0</v>
      </c>
      <c r="AR31">
        <f>IF(AQ31="",0,INDEX(データベース!R$2:R$27,MATCH(AQ31,データベース!Q$2:Q$27,0)))</f>
        <v>0</v>
      </c>
      <c r="AT31">
        <f>IF(AS31="",0,INDEX(データベース!T$2:T$4,MATCH(AS31,データベース!S$2:S$4,0)))</f>
        <v>0</v>
      </c>
      <c r="AV31">
        <f>IF(AU31="",0,INDEX(データベース!V$2:V$37,MATCH(AU31,データベース!U$2:U$37,0)))</f>
        <v>0</v>
      </c>
      <c r="AX31">
        <v>0</v>
      </c>
      <c r="AZ31">
        <v>0</v>
      </c>
      <c r="BB31">
        <v>0</v>
      </c>
    </row>
    <row r="32" spans="2:54">
      <c r="B32">
        <v>0</v>
      </c>
      <c r="G32">
        <f>IF(F32="",0,INDEX(データベース!D$2:D$4,MATCH(F32,データベース!C$2:C$4,0)))</f>
        <v>0</v>
      </c>
      <c r="J32" s="19" t="str">
        <f t="shared" si="0"/>
        <v>服装・</v>
      </c>
      <c r="L32" s="19" t="str">
        <f t="shared" si="1"/>
        <v>感情・</v>
      </c>
      <c r="N32" s="19" cm="1">
        <f t="array" aca="1" ref="N32" ca="1">IF(H32="",0,INDEX(データベース!$F$2:$F$5,MATCH(H32,データベース!$E$2:$E$5,0)))*1000
+IF(I32="",0,INDEX(データベース!$D$41:$D$44,MATCH(I32,OFFSET(データベース!$A$41,0,IF(H32="",0,INDEX(データベース!$F$2:$F$5,MATCH(H32,データベース!$E$2:$E$5,0)))-1,4,1),0),))*100
+IF(K32="",0,INDEX(データベース!$D$48:$D$52,MATCH(K32,OFFSET(データベース!$A$48,0,IF(H32="",0,INDEX(データベース!$F$2:$F$5,MATCH(H32,データベース!$E$2:$E$5,0)))-1,5,1),0),))*10
+IF(M32="",0,INDEX(データベース!$D$56:$D$62,MATCH(M32,OFFSET(データベース!$A$56,0,IF(H32="",0,INDEX(データベース!$F$2:$F$5,MATCH(H32,データベース!$E$2:$E$5,0)))-1,7,1),0),))</f>
        <v>0</v>
      </c>
      <c r="P32">
        <f>IF(O32="",0,INDEX(データベース!$H$2:$H$4,MATCH(O32,データベース!$G$2:$G$4,0)))</f>
        <v>0</v>
      </c>
      <c r="S32" s="18" t="str">
        <f t="shared" si="2"/>
        <v>服装・</v>
      </c>
      <c r="U32" s="18" t="str">
        <f t="shared" si="3"/>
        <v>感情・</v>
      </c>
      <c r="W32" s="18" cm="1">
        <f t="array" aca="1" ref="W32" ca="1">IF(Q32="",0,INDEX(データベース!$F$2:$F$5,MATCH(Q32,データベース!$E$2:$E$5,0)))*1000
+IF(R32="",0,INDEX(データベース!$D$41:$D$44,MATCH(R32,OFFSET(データベース!$A$41,0,IF(Q32="",0,INDEX(データベース!$F$2:$F$5,MATCH(Q32,データベース!$E$2:$E$5,0)))-1,4,1),0),))*100
+IF(T32="",0,INDEX(データベース!$D$48:$D$52,MATCH(T32,OFFSET(データベース!$A$48,0,IF(Q32="",0,INDEX(データベース!$F$2:$F$5,MATCH(Q32,データベース!$E$2:$E$5,0)))-1,5,1),0),))*10
+IF(V32="",0,INDEX(データベース!$D$56:$D$62,MATCH(V32,OFFSET(データベース!$A$56,0,IF(Q32="",0,INDEX(データベース!$F$2:$F$5,MATCH(Q32,データベース!$E$2:$E$5,0)))-1,7,1),0),))</f>
        <v>0</v>
      </c>
      <c r="Y32">
        <f>IF(X32="",0,INDEX(データベース!$H$2:$H$4,MATCH(X32,データベース!$G$2:$G$4,0)))</f>
        <v>0</v>
      </c>
      <c r="AB32" s="9" t="str">
        <f t="shared" si="4"/>
        <v>服装・</v>
      </c>
      <c r="AD32" s="9" t="str">
        <f t="shared" si="5"/>
        <v>感情・</v>
      </c>
      <c r="AF32" s="9" cm="1">
        <f t="array" aca="1" ref="AF32" ca="1">IF(Z32="",0,INDEX(データベース!$F$2:$F$5,MATCH(Z32,データベース!$E$2:$E$5,0)))*1000
+IF(AA32="",0,INDEX(データベース!$D$41:$D$44,MATCH(AA32,OFFSET(データベース!$A$41,0,IF(Z32="",0,INDEX(データベース!$F$2:$F$5,MATCH(Z32,データベース!$E$2:$E$5,0)))-1,4,1),0),))*100
+IF(AC32="",0,INDEX(データベース!$D$48:$D$52,MATCH(AC32,OFFSET(データベース!$A$48,0,IF(Z32="",0,INDEX(データベース!$F$2:$F$5,MATCH(Z32,データベース!$E$2:$E$5,0)))-1,5,1),0),))*10
+IF(AE32="",0,INDEX(データベース!$D$56:$D$62,MATCH(AE32,OFFSET(データベース!$A$56,0,IF(Z32="",0,INDEX(データベース!$F$2:$F$5,MATCH(Z32,データベース!$E$2:$E$5,0)))-1,7,1),0),))</f>
        <v>0</v>
      </c>
      <c r="AH32">
        <f>IF(AG32="",0,INDEX(データベース!$H$2:$H$4,MATCH(AG32,データベース!$G$2:$G$4,0)))</f>
        <v>0</v>
      </c>
      <c r="AJ32">
        <f>IF(AI32="",0,INDEX(データベース!J$2:J$2,MATCH(AI32,データベース!I$2:I$2,0)))</f>
        <v>0</v>
      </c>
      <c r="AL32">
        <f>IF(AK32="",0,INDEX(データベース!L$2:L$3,MATCH(AK32,データベース!K$2:K$3,0)))</f>
        <v>0</v>
      </c>
      <c r="AN32">
        <f>IF(AM32="",0,INDEX(データベース!N$2:N$5,MATCH(AM32,データベース!M$2:M$5,0)))</f>
        <v>0</v>
      </c>
      <c r="AO32" s="4"/>
      <c r="AP32">
        <f>IF(AO32="",0,INDEX(データベース!P$2:P$3,MATCH(AO32,データベース!O$2:O$3,0)))</f>
        <v>0</v>
      </c>
      <c r="AR32">
        <f>IF(AQ32="",0,INDEX(データベース!R$2:R$27,MATCH(AQ32,データベース!Q$2:Q$27,0)))</f>
        <v>0</v>
      </c>
      <c r="AT32">
        <f>IF(AS32="",0,INDEX(データベース!T$2:T$4,MATCH(AS32,データベース!S$2:S$4,0)))</f>
        <v>0</v>
      </c>
      <c r="AV32">
        <f>IF(AU32="",0,INDEX(データベース!V$2:V$37,MATCH(AU32,データベース!U$2:U$37,0)))</f>
        <v>0</v>
      </c>
      <c r="AX32">
        <v>0</v>
      </c>
      <c r="AZ32">
        <v>0</v>
      </c>
      <c r="BB32">
        <v>0</v>
      </c>
    </row>
    <row r="33" spans="2:54">
      <c r="B33">
        <v>0</v>
      </c>
      <c r="G33">
        <f>IF(F33="",0,INDEX(データベース!D$2:D$4,MATCH(F33,データベース!C$2:C$4,0)))</f>
        <v>0</v>
      </c>
      <c r="J33" s="19" t="str">
        <f t="shared" si="0"/>
        <v>服装・</v>
      </c>
      <c r="L33" s="19" t="str">
        <f t="shared" si="1"/>
        <v>感情・</v>
      </c>
      <c r="N33" s="19" cm="1">
        <f t="array" aca="1" ref="N33" ca="1">IF(H33="",0,INDEX(データベース!$F$2:$F$5,MATCH(H33,データベース!$E$2:$E$5,0)))*1000
+IF(I33="",0,INDEX(データベース!$D$41:$D$44,MATCH(I33,OFFSET(データベース!$A$41,0,IF(H33="",0,INDEX(データベース!$F$2:$F$5,MATCH(H33,データベース!$E$2:$E$5,0)))-1,4,1),0),))*100
+IF(K33="",0,INDEX(データベース!$D$48:$D$52,MATCH(K33,OFFSET(データベース!$A$48,0,IF(H33="",0,INDEX(データベース!$F$2:$F$5,MATCH(H33,データベース!$E$2:$E$5,0)))-1,5,1),0),))*10
+IF(M33="",0,INDEX(データベース!$D$56:$D$62,MATCH(M33,OFFSET(データベース!$A$56,0,IF(H33="",0,INDEX(データベース!$F$2:$F$5,MATCH(H33,データベース!$E$2:$E$5,0)))-1,7,1),0),))</f>
        <v>0</v>
      </c>
      <c r="P33">
        <f>IF(O33="",0,INDEX(データベース!$H$2:$H$4,MATCH(O33,データベース!$G$2:$G$4,0)))</f>
        <v>0</v>
      </c>
      <c r="S33" s="18" t="str">
        <f t="shared" si="2"/>
        <v>服装・</v>
      </c>
      <c r="U33" s="18" t="str">
        <f t="shared" si="3"/>
        <v>感情・</v>
      </c>
      <c r="W33" s="18" cm="1">
        <f t="array" aca="1" ref="W33" ca="1">IF(Q33="",0,INDEX(データベース!$F$2:$F$5,MATCH(Q33,データベース!$E$2:$E$5,0)))*1000
+IF(R33="",0,INDEX(データベース!$D$41:$D$44,MATCH(R33,OFFSET(データベース!$A$41,0,IF(Q33="",0,INDEX(データベース!$F$2:$F$5,MATCH(Q33,データベース!$E$2:$E$5,0)))-1,4,1),0),))*100
+IF(T33="",0,INDEX(データベース!$D$48:$D$52,MATCH(T33,OFFSET(データベース!$A$48,0,IF(Q33="",0,INDEX(データベース!$F$2:$F$5,MATCH(Q33,データベース!$E$2:$E$5,0)))-1,5,1),0),))*10
+IF(V33="",0,INDEX(データベース!$D$56:$D$62,MATCH(V33,OFFSET(データベース!$A$56,0,IF(Q33="",0,INDEX(データベース!$F$2:$F$5,MATCH(Q33,データベース!$E$2:$E$5,0)))-1,7,1),0),))</f>
        <v>0</v>
      </c>
      <c r="Y33">
        <f>IF(X33="",0,INDEX(データベース!$H$2:$H$4,MATCH(X33,データベース!$G$2:$G$4,0)))</f>
        <v>0</v>
      </c>
      <c r="AB33" s="9" t="str">
        <f t="shared" si="4"/>
        <v>服装・</v>
      </c>
      <c r="AD33" s="9" t="str">
        <f t="shared" si="5"/>
        <v>感情・</v>
      </c>
      <c r="AF33" s="9" cm="1">
        <f t="array" aca="1" ref="AF33" ca="1">IF(Z33="",0,INDEX(データベース!$F$2:$F$5,MATCH(Z33,データベース!$E$2:$E$5,0)))*1000
+IF(AA33="",0,INDEX(データベース!$D$41:$D$44,MATCH(AA33,OFFSET(データベース!$A$41,0,IF(Z33="",0,INDEX(データベース!$F$2:$F$5,MATCH(Z33,データベース!$E$2:$E$5,0)))-1,4,1),0),))*100
+IF(AC33="",0,INDEX(データベース!$D$48:$D$52,MATCH(AC33,OFFSET(データベース!$A$48,0,IF(Z33="",0,INDEX(データベース!$F$2:$F$5,MATCH(Z33,データベース!$E$2:$E$5,0)))-1,5,1),0),))*10
+IF(AE33="",0,INDEX(データベース!$D$56:$D$62,MATCH(AE33,OFFSET(データベース!$A$56,0,IF(Z33="",0,INDEX(データベース!$F$2:$F$5,MATCH(Z33,データベース!$E$2:$E$5,0)))-1,7,1),0),))</f>
        <v>0</v>
      </c>
      <c r="AH33">
        <f>IF(AG33="",0,INDEX(データベース!$H$2:$H$4,MATCH(AG33,データベース!$G$2:$G$4,0)))</f>
        <v>0</v>
      </c>
      <c r="AJ33">
        <f>IF(AI33="",0,INDEX(データベース!J$2:J$2,MATCH(AI33,データベース!I$2:I$2,0)))</f>
        <v>0</v>
      </c>
      <c r="AL33">
        <f>IF(AK33="",0,INDEX(データベース!L$2:L$3,MATCH(AK33,データベース!K$2:K$3,0)))</f>
        <v>0</v>
      </c>
      <c r="AN33">
        <f>IF(AM33="",0,INDEX(データベース!N$2:N$5,MATCH(AM33,データベース!M$2:M$5,0)))</f>
        <v>0</v>
      </c>
      <c r="AO33" s="4"/>
      <c r="AP33">
        <f>IF(AO33="",0,INDEX(データベース!P$2:P$3,MATCH(AO33,データベース!O$2:O$3,0)))</f>
        <v>0</v>
      </c>
      <c r="AR33">
        <f>IF(AQ33="",0,INDEX(データベース!R$2:R$27,MATCH(AQ33,データベース!Q$2:Q$27,0)))</f>
        <v>0</v>
      </c>
      <c r="AT33">
        <f>IF(AS33="",0,INDEX(データベース!T$2:T$4,MATCH(AS33,データベース!S$2:S$4,0)))</f>
        <v>0</v>
      </c>
      <c r="AV33">
        <f>IF(AU33="",0,INDEX(データベース!V$2:V$37,MATCH(AU33,データベース!U$2:U$37,0)))</f>
        <v>0</v>
      </c>
      <c r="AX33">
        <v>0</v>
      </c>
      <c r="AZ33">
        <v>0</v>
      </c>
      <c r="BB33">
        <v>0</v>
      </c>
    </row>
    <row r="34" spans="2:54">
      <c r="B34">
        <v>0</v>
      </c>
      <c r="G34">
        <f>IF(F34="",0,INDEX(データベース!D$2:D$4,MATCH(F34,データベース!C$2:C$4,0)))</f>
        <v>0</v>
      </c>
      <c r="J34" s="19" t="str">
        <f t="shared" si="0"/>
        <v>服装・</v>
      </c>
      <c r="L34" s="19" t="str">
        <f t="shared" si="1"/>
        <v>感情・</v>
      </c>
      <c r="N34" s="19" cm="1">
        <f t="array" aca="1" ref="N34" ca="1">IF(H34="",0,INDEX(データベース!$F$2:$F$5,MATCH(H34,データベース!$E$2:$E$5,0)))*1000
+IF(I34="",0,INDEX(データベース!$D$41:$D$44,MATCH(I34,OFFSET(データベース!$A$41,0,IF(H34="",0,INDEX(データベース!$F$2:$F$5,MATCH(H34,データベース!$E$2:$E$5,0)))-1,4,1),0),))*100
+IF(K34="",0,INDEX(データベース!$D$48:$D$52,MATCH(K34,OFFSET(データベース!$A$48,0,IF(H34="",0,INDEX(データベース!$F$2:$F$5,MATCH(H34,データベース!$E$2:$E$5,0)))-1,5,1),0),))*10
+IF(M34="",0,INDEX(データベース!$D$56:$D$62,MATCH(M34,OFFSET(データベース!$A$56,0,IF(H34="",0,INDEX(データベース!$F$2:$F$5,MATCH(H34,データベース!$E$2:$E$5,0)))-1,7,1),0),))</f>
        <v>0</v>
      </c>
      <c r="P34">
        <f>IF(O34="",0,INDEX(データベース!$H$2:$H$4,MATCH(O34,データベース!$G$2:$G$4,0)))</f>
        <v>0</v>
      </c>
      <c r="S34" s="18" t="str">
        <f t="shared" si="2"/>
        <v>服装・</v>
      </c>
      <c r="U34" s="18" t="str">
        <f t="shared" si="3"/>
        <v>感情・</v>
      </c>
      <c r="W34" s="18" cm="1">
        <f t="array" aca="1" ref="W34" ca="1">IF(Q34="",0,INDEX(データベース!$F$2:$F$5,MATCH(Q34,データベース!$E$2:$E$5,0)))*1000
+IF(R34="",0,INDEX(データベース!$D$41:$D$44,MATCH(R34,OFFSET(データベース!$A$41,0,IF(Q34="",0,INDEX(データベース!$F$2:$F$5,MATCH(Q34,データベース!$E$2:$E$5,0)))-1,4,1),0),))*100
+IF(T34="",0,INDEX(データベース!$D$48:$D$52,MATCH(T34,OFFSET(データベース!$A$48,0,IF(Q34="",0,INDEX(データベース!$F$2:$F$5,MATCH(Q34,データベース!$E$2:$E$5,0)))-1,5,1),0),))*10
+IF(V34="",0,INDEX(データベース!$D$56:$D$62,MATCH(V34,OFFSET(データベース!$A$56,0,IF(Q34="",0,INDEX(データベース!$F$2:$F$5,MATCH(Q34,データベース!$E$2:$E$5,0)))-1,7,1),0),))</f>
        <v>0</v>
      </c>
      <c r="Y34">
        <f>IF(X34="",0,INDEX(データベース!$H$2:$H$4,MATCH(X34,データベース!$G$2:$G$4,0)))</f>
        <v>0</v>
      </c>
      <c r="AB34" s="9" t="str">
        <f t="shared" si="4"/>
        <v>服装・</v>
      </c>
      <c r="AD34" s="9" t="str">
        <f t="shared" si="5"/>
        <v>感情・</v>
      </c>
      <c r="AF34" s="9" cm="1">
        <f t="array" aca="1" ref="AF34" ca="1">IF(Z34="",0,INDEX(データベース!$F$2:$F$5,MATCH(Z34,データベース!$E$2:$E$5,0)))*1000
+IF(AA34="",0,INDEX(データベース!$D$41:$D$44,MATCH(AA34,OFFSET(データベース!$A$41,0,IF(Z34="",0,INDEX(データベース!$F$2:$F$5,MATCH(Z34,データベース!$E$2:$E$5,0)))-1,4,1),0),))*100
+IF(AC34="",0,INDEX(データベース!$D$48:$D$52,MATCH(AC34,OFFSET(データベース!$A$48,0,IF(Z34="",0,INDEX(データベース!$F$2:$F$5,MATCH(Z34,データベース!$E$2:$E$5,0)))-1,5,1),0),))*10
+IF(AE34="",0,INDEX(データベース!$D$56:$D$62,MATCH(AE34,OFFSET(データベース!$A$56,0,IF(Z34="",0,INDEX(データベース!$F$2:$F$5,MATCH(Z34,データベース!$E$2:$E$5,0)))-1,7,1),0),))</f>
        <v>0</v>
      </c>
      <c r="AH34">
        <f>IF(AG34="",0,INDEX(データベース!$H$2:$H$4,MATCH(AG34,データベース!$G$2:$G$4,0)))</f>
        <v>0</v>
      </c>
      <c r="AJ34">
        <f>IF(AI34="",0,INDEX(データベース!J$2:J$2,MATCH(AI34,データベース!I$2:I$2,0)))</f>
        <v>0</v>
      </c>
      <c r="AL34">
        <f>IF(AK34="",0,INDEX(データベース!L$2:L$3,MATCH(AK34,データベース!K$2:K$3,0)))</f>
        <v>0</v>
      </c>
      <c r="AN34">
        <f>IF(AM34="",0,INDEX(データベース!N$2:N$5,MATCH(AM34,データベース!M$2:M$5,0)))</f>
        <v>0</v>
      </c>
      <c r="AO34" s="4"/>
      <c r="AP34">
        <f>IF(AO34="",0,INDEX(データベース!P$2:P$3,MATCH(AO34,データベース!O$2:O$3,0)))</f>
        <v>0</v>
      </c>
      <c r="AR34">
        <f>IF(AQ34="",0,INDEX(データベース!R$2:R$27,MATCH(AQ34,データベース!Q$2:Q$27,0)))</f>
        <v>0</v>
      </c>
      <c r="AT34">
        <f>IF(AS34="",0,INDEX(データベース!T$2:T$4,MATCH(AS34,データベース!S$2:S$4,0)))</f>
        <v>0</v>
      </c>
      <c r="AV34">
        <f>IF(AU34="",0,INDEX(データベース!V$2:V$37,MATCH(AU34,データベース!U$2:U$37,0)))</f>
        <v>0</v>
      </c>
      <c r="AX34">
        <v>0</v>
      </c>
      <c r="AZ34">
        <v>0</v>
      </c>
      <c r="BB34">
        <v>0</v>
      </c>
    </row>
    <row r="35" spans="2:54">
      <c r="B35">
        <v>0</v>
      </c>
      <c r="G35">
        <f>IF(F35="",0,INDEX(データベース!D$2:D$4,MATCH(F35,データベース!C$2:C$4,0)))</f>
        <v>0</v>
      </c>
      <c r="J35" s="19" t="str">
        <f t="shared" si="0"/>
        <v>服装・</v>
      </c>
      <c r="L35" s="19" t="str">
        <f t="shared" si="1"/>
        <v>感情・</v>
      </c>
      <c r="N35" s="19" cm="1">
        <f t="array" aca="1" ref="N35" ca="1">IF(H35="",0,INDEX(データベース!$F$2:$F$5,MATCH(H35,データベース!$E$2:$E$5,0)))*1000
+IF(I35="",0,INDEX(データベース!$D$41:$D$44,MATCH(I35,OFFSET(データベース!$A$41,0,IF(H35="",0,INDEX(データベース!$F$2:$F$5,MATCH(H35,データベース!$E$2:$E$5,0)))-1,4,1),0),))*100
+IF(K35="",0,INDEX(データベース!$D$48:$D$52,MATCH(K35,OFFSET(データベース!$A$48,0,IF(H35="",0,INDEX(データベース!$F$2:$F$5,MATCH(H35,データベース!$E$2:$E$5,0)))-1,5,1),0),))*10
+IF(M35="",0,INDEX(データベース!$D$56:$D$62,MATCH(M35,OFFSET(データベース!$A$56,0,IF(H35="",0,INDEX(データベース!$F$2:$F$5,MATCH(H35,データベース!$E$2:$E$5,0)))-1,7,1),0),))</f>
        <v>0</v>
      </c>
      <c r="P35">
        <f>IF(O35="",0,INDEX(データベース!$H$2:$H$4,MATCH(O35,データベース!$G$2:$G$4,0)))</f>
        <v>0</v>
      </c>
      <c r="S35" s="18" t="str">
        <f t="shared" si="2"/>
        <v>服装・</v>
      </c>
      <c r="U35" s="18" t="str">
        <f t="shared" si="3"/>
        <v>感情・</v>
      </c>
      <c r="W35" s="18" cm="1">
        <f t="array" aca="1" ref="W35" ca="1">IF(Q35="",0,INDEX(データベース!$F$2:$F$5,MATCH(Q35,データベース!$E$2:$E$5,0)))*1000
+IF(R35="",0,INDEX(データベース!$D$41:$D$44,MATCH(R35,OFFSET(データベース!$A$41,0,IF(Q35="",0,INDEX(データベース!$F$2:$F$5,MATCH(Q35,データベース!$E$2:$E$5,0)))-1,4,1),0),))*100
+IF(T35="",0,INDEX(データベース!$D$48:$D$52,MATCH(T35,OFFSET(データベース!$A$48,0,IF(Q35="",0,INDEX(データベース!$F$2:$F$5,MATCH(Q35,データベース!$E$2:$E$5,0)))-1,5,1),0),))*10
+IF(V35="",0,INDEX(データベース!$D$56:$D$62,MATCH(V35,OFFSET(データベース!$A$56,0,IF(Q35="",0,INDEX(データベース!$F$2:$F$5,MATCH(Q35,データベース!$E$2:$E$5,0)))-1,7,1),0),))</f>
        <v>0</v>
      </c>
      <c r="Y35">
        <f>IF(X35="",0,INDEX(データベース!$H$2:$H$4,MATCH(X35,データベース!$G$2:$G$4,0)))</f>
        <v>0</v>
      </c>
      <c r="AB35" s="9" t="str">
        <f t="shared" si="4"/>
        <v>服装・</v>
      </c>
      <c r="AD35" s="9" t="str">
        <f t="shared" si="5"/>
        <v>感情・</v>
      </c>
      <c r="AF35" s="9" cm="1">
        <f t="array" aca="1" ref="AF35" ca="1">IF(Z35="",0,INDEX(データベース!$F$2:$F$5,MATCH(Z35,データベース!$E$2:$E$5,0)))*1000
+IF(AA35="",0,INDEX(データベース!$D$41:$D$44,MATCH(AA35,OFFSET(データベース!$A$41,0,IF(Z35="",0,INDEX(データベース!$F$2:$F$5,MATCH(Z35,データベース!$E$2:$E$5,0)))-1,4,1),0),))*100
+IF(AC35="",0,INDEX(データベース!$D$48:$D$52,MATCH(AC35,OFFSET(データベース!$A$48,0,IF(Z35="",0,INDEX(データベース!$F$2:$F$5,MATCH(Z35,データベース!$E$2:$E$5,0)))-1,5,1),0),))*10
+IF(AE35="",0,INDEX(データベース!$D$56:$D$62,MATCH(AE35,OFFSET(データベース!$A$56,0,IF(Z35="",0,INDEX(データベース!$F$2:$F$5,MATCH(Z35,データベース!$E$2:$E$5,0)))-1,7,1),0),))</f>
        <v>0</v>
      </c>
      <c r="AH35">
        <f>IF(AG35="",0,INDEX(データベース!$H$2:$H$4,MATCH(AG35,データベース!$G$2:$G$4,0)))</f>
        <v>0</v>
      </c>
      <c r="AJ35">
        <f>IF(AI35="",0,INDEX(データベース!J$2:J$2,MATCH(AI35,データベース!I$2:I$2,0)))</f>
        <v>0</v>
      </c>
      <c r="AL35">
        <f>IF(AK35="",0,INDEX(データベース!L$2:L$3,MATCH(AK35,データベース!K$2:K$3,0)))</f>
        <v>0</v>
      </c>
      <c r="AN35">
        <f>IF(AM35="",0,INDEX(データベース!N$2:N$5,MATCH(AM35,データベース!M$2:M$5,0)))</f>
        <v>0</v>
      </c>
      <c r="AO35" s="4"/>
      <c r="AP35">
        <f>IF(AO35="",0,INDEX(データベース!P$2:P$3,MATCH(AO35,データベース!O$2:O$3,0)))</f>
        <v>0</v>
      </c>
      <c r="AR35">
        <f>IF(AQ35="",0,INDEX(データベース!R$2:R$27,MATCH(AQ35,データベース!Q$2:Q$27,0)))</f>
        <v>0</v>
      </c>
      <c r="AT35">
        <f>IF(AS35="",0,INDEX(データベース!T$2:T$4,MATCH(AS35,データベース!S$2:S$4,0)))</f>
        <v>0</v>
      </c>
      <c r="AV35">
        <f>IF(AU35="",0,INDEX(データベース!V$2:V$37,MATCH(AU35,データベース!U$2:U$37,0)))</f>
        <v>0</v>
      </c>
      <c r="AX35">
        <v>0</v>
      </c>
      <c r="AZ35">
        <v>0</v>
      </c>
      <c r="BB35">
        <v>0</v>
      </c>
    </row>
    <row r="36" spans="2:54">
      <c r="B36">
        <v>0</v>
      </c>
      <c r="G36">
        <f>IF(F36="",0,INDEX(データベース!D$2:D$4,MATCH(F36,データベース!C$2:C$4,0)))</f>
        <v>0</v>
      </c>
      <c r="J36" s="19" t="str">
        <f t="shared" si="0"/>
        <v>服装・</v>
      </c>
      <c r="L36" s="19" t="str">
        <f t="shared" si="1"/>
        <v>感情・</v>
      </c>
      <c r="N36" s="19" cm="1">
        <f t="array" aca="1" ref="N36" ca="1">IF(H36="",0,INDEX(データベース!$F$2:$F$5,MATCH(H36,データベース!$E$2:$E$5,0)))*1000
+IF(I36="",0,INDEX(データベース!$D$41:$D$44,MATCH(I36,OFFSET(データベース!$A$41,0,IF(H36="",0,INDEX(データベース!$F$2:$F$5,MATCH(H36,データベース!$E$2:$E$5,0)))-1,4,1),0),))*100
+IF(K36="",0,INDEX(データベース!$D$48:$D$52,MATCH(K36,OFFSET(データベース!$A$48,0,IF(H36="",0,INDEX(データベース!$F$2:$F$5,MATCH(H36,データベース!$E$2:$E$5,0)))-1,5,1),0),))*10
+IF(M36="",0,INDEX(データベース!$D$56:$D$62,MATCH(M36,OFFSET(データベース!$A$56,0,IF(H36="",0,INDEX(データベース!$F$2:$F$5,MATCH(H36,データベース!$E$2:$E$5,0)))-1,7,1),0),))</f>
        <v>0</v>
      </c>
      <c r="P36">
        <f>IF(O36="",0,INDEX(データベース!$H$2:$H$4,MATCH(O36,データベース!$G$2:$G$4,0)))</f>
        <v>0</v>
      </c>
      <c r="S36" s="18" t="str">
        <f t="shared" si="2"/>
        <v>服装・</v>
      </c>
      <c r="U36" s="18" t="str">
        <f t="shared" si="3"/>
        <v>感情・</v>
      </c>
      <c r="W36" s="18" cm="1">
        <f t="array" aca="1" ref="W36" ca="1">IF(Q36="",0,INDEX(データベース!$F$2:$F$5,MATCH(Q36,データベース!$E$2:$E$5,0)))*1000
+IF(R36="",0,INDEX(データベース!$D$41:$D$44,MATCH(R36,OFFSET(データベース!$A$41,0,IF(Q36="",0,INDEX(データベース!$F$2:$F$5,MATCH(Q36,データベース!$E$2:$E$5,0)))-1,4,1),0),))*100
+IF(T36="",0,INDEX(データベース!$D$48:$D$52,MATCH(T36,OFFSET(データベース!$A$48,0,IF(Q36="",0,INDEX(データベース!$F$2:$F$5,MATCH(Q36,データベース!$E$2:$E$5,0)))-1,5,1),0),))*10
+IF(V36="",0,INDEX(データベース!$D$56:$D$62,MATCH(V36,OFFSET(データベース!$A$56,0,IF(Q36="",0,INDEX(データベース!$F$2:$F$5,MATCH(Q36,データベース!$E$2:$E$5,0)))-1,7,1),0),))</f>
        <v>0</v>
      </c>
      <c r="Y36">
        <f>IF(X36="",0,INDEX(データベース!$H$2:$H$4,MATCH(X36,データベース!$G$2:$G$4,0)))</f>
        <v>0</v>
      </c>
      <c r="AB36" s="9" t="str">
        <f t="shared" si="4"/>
        <v>服装・</v>
      </c>
      <c r="AD36" s="9" t="str">
        <f t="shared" si="5"/>
        <v>感情・</v>
      </c>
      <c r="AF36" s="9" cm="1">
        <f t="array" aca="1" ref="AF36" ca="1">IF(Z36="",0,INDEX(データベース!$F$2:$F$5,MATCH(Z36,データベース!$E$2:$E$5,0)))*1000
+IF(AA36="",0,INDEX(データベース!$D$41:$D$44,MATCH(AA36,OFFSET(データベース!$A$41,0,IF(Z36="",0,INDEX(データベース!$F$2:$F$5,MATCH(Z36,データベース!$E$2:$E$5,0)))-1,4,1),0),))*100
+IF(AC36="",0,INDEX(データベース!$D$48:$D$52,MATCH(AC36,OFFSET(データベース!$A$48,0,IF(Z36="",0,INDEX(データベース!$F$2:$F$5,MATCH(Z36,データベース!$E$2:$E$5,0)))-1,5,1),0),))*10
+IF(AE36="",0,INDEX(データベース!$D$56:$D$62,MATCH(AE36,OFFSET(データベース!$A$56,0,IF(Z36="",0,INDEX(データベース!$F$2:$F$5,MATCH(Z36,データベース!$E$2:$E$5,0)))-1,7,1),0),))</f>
        <v>0</v>
      </c>
      <c r="AH36">
        <f>IF(AG36="",0,INDEX(データベース!$H$2:$H$4,MATCH(AG36,データベース!$G$2:$G$4,0)))</f>
        <v>0</v>
      </c>
      <c r="AJ36">
        <f>IF(AI36="",0,INDEX(データベース!J$2:J$2,MATCH(AI36,データベース!I$2:I$2,0)))</f>
        <v>0</v>
      </c>
      <c r="AL36">
        <f>IF(AK36="",0,INDEX(データベース!L$2:L$3,MATCH(AK36,データベース!K$2:K$3,0)))</f>
        <v>0</v>
      </c>
      <c r="AN36">
        <f>IF(AM36="",0,INDEX(データベース!N$2:N$5,MATCH(AM36,データベース!M$2:M$5,0)))</f>
        <v>0</v>
      </c>
      <c r="AO36" s="4"/>
      <c r="AP36">
        <f>IF(AO36="",0,INDEX(データベース!P$2:P$3,MATCH(AO36,データベース!O$2:O$3,0)))</f>
        <v>0</v>
      </c>
      <c r="AR36">
        <f>IF(AQ36="",0,INDEX(データベース!R$2:R$27,MATCH(AQ36,データベース!Q$2:Q$27,0)))</f>
        <v>0</v>
      </c>
      <c r="AT36">
        <f>IF(AS36="",0,INDEX(データベース!T$2:T$4,MATCH(AS36,データベース!S$2:S$4,0)))</f>
        <v>0</v>
      </c>
      <c r="AV36">
        <f>IF(AU36="",0,INDEX(データベース!V$2:V$37,MATCH(AU36,データベース!U$2:U$37,0)))</f>
        <v>0</v>
      </c>
      <c r="AX36">
        <v>0</v>
      </c>
      <c r="AZ36">
        <v>0</v>
      </c>
      <c r="BB36">
        <v>0</v>
      </c>
    </row>
    <row r="37" spans="2:54">
      <c r="B37">
        <v>0</v>
      </c>
      <c r="G37">
        <f>IF(F37="",0,INDEX(データベース!D$2:D$4,MATCH(F37,データベース!C$2:C$4,0)))</f>
        <v>0</v>
      </c>
      <c r="J37" s="19" t="str">
        <f t="shared" si="0"/>
        <v>服装・</v>
      </c>
      <c r="L37" s="19" t="str">
        <f t="shared" si="1"/>
        <v>感情・</v>
      </c>
      <c r="N37" s="19" cm="1">
        <f t="array" aca="1" ref="N37" ca="1">IF(H37="",0,INDEX(データベース!$F$2:$F$5,MATCH(H37,データベース!$E$2:$E$5,0)))*1000
+IF(I37="",0,INDEX(データベース!$D$41:$D$44,MATCH(I37,OFFSET(データベース!$A$41,0,IF(H37="",0,INDEX(データベース!$F$2:$F$5,MATCH(H37,データベース!$E$2:$E$5,0)))-1,4,1),0),))*100
+IF(K37="",0,INDEX(データベース!$D$48:$D$52,MATCH(K37,OFFSET(データベース!$A$48,0,IF(H37="",0,INDEX(データベース!$F$2:$F$5,MATCH(H37,データベース!$E$2:$E$5,0)))-1,5,1),0),))*10
+IF(M37="",0,INDEX(データベース!$D$56:$D$62,MATCH(M37,OFFSET(データベース!$A$56,0,IF(H37="",0,INDEX(データベース!$F$2:$F$5,MATCH(H37,データベース!$E$2:$E$5,0)))-1,7,1),0),))</f>
        <v>0</v>
      </c>
      <c r="P37">
        <f>IF(O37="",0,INDEX(データベース!$H$2:$H$4,MATCH(O37,データベース!$G$2:$G$4,0)))</f>
        <v>0</v>
      </c>
      <c r="S37" s="18" t="str">
        <f t="shared" si="2"/>
        <v>服装・</v>
      </c>
      <c r="U37" s="18" t="str">
        <f t="shared" si="3"/>
        <v>感情・</v>
      </c>
      <c r="W37" s="18" cm="1">
        <f t="array" aca="1" ref="W37" ca="1">IF(Q37="",0,INDEX(データベース!$F$2:$F$5,MATCH(Q37,データベース!$E$2:$E$5,0)))*1000
+IF(R37="",0,INDEX(データベース!$D$41:$D$44,MATCH(R37,OFFSET(データベース!$A$41,0,IF(Q37="",0,INDEX(データベース!$F$2:$F$5,MATCH(Q37,データベース!$E$2:$E$5,0)))-1,4,1),0),))*100
+IF(T37="",0,INDEX(データベース!$D$48:$D$52,MATCH(T37,OFFSET(データベース!$A$48,0,IF(Q37="",0,INDEX(データベース!$F$2:$F$5,MATCH(Q37,データベース!$E$2:$E$5,0)))-1,5,1),0),))*10
+IF(V37="",0,INDEX(データベース!$D$56:$D$62,MATCH(V37,OFFSET(データベース!$A$56,0,IF(Q37="",0,INDEX(データベース!$F$2:$F$5,MATCH(Q37,データベース!$E$2:$E$5,0)))-1,7,1),0),))</f>
        <v>0</v>
      </c>
      <c r="Y37">
        <f>IF(X37="",0,INDEX(データベース!$H$2:$H$4,MATCH(X37,データベース!$G$2:$G$4,0)))</f>
        <v>0</v>
      </c>
      <c r="AB37" s="9" t="str">
        <f t="shared" si="4"/>
        <v>服装・</v>
      </c>
      <c r="AD37" s="9" t="str">
        <f t="shared" si="5"/>
        <v>感情・</v>
      </c>
      <c r="AF37" s="9" cm="1">
        <f t="array" aca="1" ref="AF37" ca="1">IF(Z37="",0,INDEX(データベース!$F$2:$F$5,MATCH(Z37,データベース!$E$2:$E$5,0)))*1000
+IF(AA37="",0,INDEX(データベース!$D$41:$D$44,MATCH(AA37,OFFSET(データベース!$A$41,0,IF(Z37="",0,INDEX(データベース!$F$2:$F$5,MATCH(Z37,データベース!$E$2:$E$5,0)))-1,4,1),0),))*100
+IF(AC37="",0,INDEX(データベース!$D$48:$D$52,MATCH(AC37,OFFSET(データベース!$A$48,0,IF(Z37="",0,INDEX(データベース!$F$2:$F$5,MATCH(Z37,データベース!$E$2:$E$5,0)))-1,5,1),0),))*10
+IF(AE37="",0,INDEX(データベース!$D$56:$D$62,MATCH(AE37,OFFSET(データベース!$A$56,0,IF(Z37="",0,INDEX(データベース!$F$2:$F$5,MATCH(Z37,データベース!$E$2:$E$5,0)))-1,7,1),0),))</f>
        <v>0</v>
      </c>
      <c r="AH37">
        <f>IF(AG37="",0,INDEX(データベース!$H$2:$H$4,MATCH(AG37,データベース!$G$2:$G$4,0)))</f>
        <v>0</v>
      </c>
      <c r="AJ37">
        <f>IF(AI37="",0,INDEX(データベース!J$2:J$2,MATCH(AI37,データベース!I$2:I$2,0)))</f>
        <v>0</v>
      </c>
      <c r="AL37">
        <f>IF(AK37="",0,INDEX(データベース!L$2:L$3,MATCH(AK37,データベース!K$2:K$3,0)))</f>
        <v>0</v>
      </c>
      <c r="AN37">
        <f>IF(AM37="",0,INDEX(データベース!N$2:N$5,MATCH(AM37,データベース!M$2:M$5,0)))</f>
        <v>0</v>
      </c>
      <c r="AO37" s="4"/>
      <c r="AP37">
        <f>IF(AO37="",0,INDEX(データベース!P$2:P$3,MATCH(AO37,データベース!O$2:O$3,0)))</f>
        <v>0</v>
      </c>
      <c r="AR37">
        <f>IF(AQ37="",0,INDEX(データベース!R$2:R$27,MATCH(AQ37,データベース!Q$2:Q$27,0)))</f>
        <v>0</v>
      </c>
      <c r="AT37">
        <f>IF(AS37="",0,INDEX(データベース!T$2:T$4,MATCH(AS37,データベース!S$2:S$4,0)))</f>
        <v>0</v>
      </c>
      <c r="AV37">
        <f>IF(AU37="",0,INDEX(データベース!V$2:V$37,MATCH(AU37,データベース!U$2:U$37,0)))</f>
        <v>0</v>
      </c>
      <c r="AX37">
        <v>0</v>
      </c>
      <c r="AZ37">
        <v>0</v>
      </c>
      <c r="BB37">
        <v>0</v>
      </c>
    </row>
    <row r="38" spans="2:54">
      <c r="B38">
        <v>0</v>
      </c>
      <c r="G38">
        <f>IF(F38="",0,INDEX(データベース!D$2:D$4,MATCH(F38,データベース!C$2:C$4,0)))</f>
        <v>0</v>
      </c>
      <c r="J38" s="19" t="str">
        <f t="shared" si="0"/>
        <v>服装・</v>
      </c>
      <c r="L38" s="19" t="str">
        <f t="shared" si="1"/>
        <v>感情・</v>
      </c>
      <c r="N38" s="19" cm="1">
        <f t="array" aca="1" ref="N38" ca="1">IF(H38="",0,INDEX(データベース!$F$2:$F$5,MATCH(H38,データベース!$E$2:$E$5,0)))*1000
+IF(I38="",0,INDEX(データベース!$D$41:$D$44,MATCH(I38,OFFSET(データベース!$A$41,0,IF(H38="",0,INDEX(データベース!$F$2:$F$5,MATCH(H38,データベース!$E$2:$E$5,0)))-1,4,1),0),))*100
+IF(K38="",0,INDEX(データベース!$D$48:$D$52,MATCH(K38,OFFSET(データベース!$A$48,0,IF(H38="",0,INDEX(データベース!$F$2:$F$5,MATCH(H38,データベース!$E$2:$E$5,0)))-1,5,1),0),))*10
+IF(M38="",0,INDEX(データベース!$D$56:$D$62,MATCH(M38,OFFSET(データベース!$A$56,0,IF(H38="",0,INDEX(データベース!$F$2:$F$5,MATCH(H38,データベース!$E$2:$E$5,0)))-1,7,1),0),))</f>
        <v>0</v>
      </c>
      <c r="P38">
        <f>IF(O38="",0,INDEX(データベース!$H$2:$H$4,MATCH(O38,データベース!$G$2:$G$4,0)))</f>
        <v>0</v>
      </c>
      <c r="S38" s="18" t="str">
        <f t="shared" si="2"/>
        <v>服装・</v>
      </c>
      <c r="U38" s="18" t="str">
        <f t="shared" si="3"/>
        <v>感情・</v>
      </c>
      <c r="W38" s="18" cm="1">
        <f t="array" aca="1" ref="W38" ca="1">IF(Q38="",0,INDEX(データベース!$F$2:$F$5,MATCH(Q38,データベース!$E$2:$E$5,0)))*1000
+IF(R38="",0,INDEX(データベース!$D$41:$D$44,MATCH(R38,OFFSET(データベース!$A$41,0,IF(Q38="",0,INDEX(データベース!$F$2:$F$5,MATCH(Q38,データベース!$E$2:$E$5,0)))-1,4,1),0),))*100
+IF(T38="",0,INDEX(データベース!$D$48:$D$52,MATCH(T38,OFFSET(データベース!$A$48,0,IF(Q38="",0,INDEX(データベース!$F$2:$F$5,MATCH(Q38,データベース!$E$2:$E$5,0)))-1,5,1),0),))*10
+IF(V38="",0,INDEX(データベース!$D$56:$D$62,MATCH(V38,OFFSET(データベース!$A$56,0,IF(Q38="",0,INDEX(データベース!$F$2:$F$5,MATCH(Q38,データベース!$E$2:$E$5,0)))-1,7,1),0),))</f>
        <v>0</v>
      </c>
      <c r="Y38">
        <f>IF(X38="",0,INDEX(データベース!$H$2:$H$4,MATCH(X38,データベース!$G$2:$G$4,0)))</f>
        <v>0</v>
      </c>
      <c r="AB38" s="9" t="str">
        <f t="shared" si="4"/>
        <v>服装・</v>
      </c>
      <c r="AD38" s="9" t="str">
        <f t="shared" si="5"/>
        <v>感情・</v>
      </c>
      <c r="AF38" s="9" cm="1">
        <f t="array" aca="1" ref="AF38" ca="1">IF(Z38="",0,INDEX(データベース!$F$2:$F$5,MATCH(Z38,データベース!$E$2:$E$5,0)))*1000
+IF(AA38="",0,INDEX(データベース!$D$41:$D$44,MATCH(AA38,OFFSET(データベース!$A$41,0,IF(Z38="",0,INDEX(データベース!$F$2:$F$5,MATCH(Z38,データベース!$E$2:$E$5,0)))-1,4,1),0),))*100
+IF(AC38="",0,INDEX(データベース!$D$48:$D$52,MATCH(AC38,OFFSET(データベース!$A$48,0,IF(Z38="",0,INDEX(データベース!$F$2:$F$5,MATCH(Z38,データベース!$E$2:$E$5,0)))-1,5,1),0),))*10
+IF(AE38="",0,INDEX(データベース!$D$56:$D$62,MATCH(AE38,OFFSET(データベース!$A$56,0,IF(Z38="",0,INDEX(データベース!$F$2:$F$5,MATCH(Z38,データベース!$E$2:$E$5,0)))-1,7,1),0),))</f>
        <v>0</v>
      </c>
      <c r="AH38">
        <f>IF(AG38="",0,INDEX(データベース!$H$2:$H$4,MATCH(AG38,データベース!$G$2:$G$4,0)))</f>
        <v>0</v>
      </c>
      <c r="AJ38">
        <f>IF(AI38="",0,INDEX(データベース!J$2:J$2,MATCH(AI38,データベース!I$2:I$2,0)))</f>
        <v>0</v>
      </c>
      <c r="AL38">
        <f>IF(AK38="",0,INDEX(データベース!L$2:L$3,MATCH(AK38,データベース!K$2:K$3,0)))</f>
        <v>0</v>
      </c>
      <c r="AN38">
        <f>IF(AM38="",0,INDEX(データベース!N$2:N$5,MATCH(AM38,データベース!M$2:M$5,0)))</f>
        <v>0</v>
      </c>
      <c r="AO38" s="4"/>
      <c r="AP38">
        <f>IF(AO38="",0,INDEX(データベース!P$2:P$3,MATCH(AO38,データベース!O$2:O$3,0)))</f>
        <v>0</v>
      </c>
      <c r="AR38">
        <f>IF(AQ38="",0,INDEX(データベース!R$2:R$27,MATCH(AQ38,データベース!Q$2:Q$27,0)))</f>
        <v>0</v>
      </c>
      <c r="AT38">
        <f>IF(AS38="",0,INDEX(データベース!T$2:T$4,MATCH(AS38,データベース!S$2:S$4,0)))</f>
        <v>0</v>
      </c>
      <c r="AV38">
        <f>IF(AU38="",0,INDEX(データベース!V$2:V$37,MATCH(AU38,データベース!U$2:U$37,0)))</f>
        <v>0</v>
      </c>
      <c r="AX38">
        <v>0</v>
      </c>
      <c r="AZ38">
        <v>0</v>
      </c>
      <c r="BB38">
        <v>0</v>
      </c>
    </row>
    <row r="39" spans="2:54">
      <c r="B39">
        <v>0</v>
      </c>
      <c r="G39">
        <f>IF(F39="",0,INDEX(データベース!D$2:D$4,MATCH(F39,データベース!C$2:C$4,0)))</f>
        <v>0</v>
      </c>
      <c r="J39" s="19" t="str">
        <f t="shared" si="0"/>
        <v>服装・</v>
      </c>
      <c r="L39" s="19" t="str">
        <f t="shared" si="1"/>
        <v>感情・</v>
      </c>
      <c r="N39" s="19" cm="1">
        <f t="array" aca="1" ref="N39" ca="1">IF(H39="",0,INDEX(データベース!$F$2:$F$5,MATCH(H39,データベース!$E$2:$E$5,0)))*1000
+IF(I39="",0,INDEX(データベース!$D$41:$D$44,MATCH(I39,OFFSET(データベース!$A$41,0,IF(H39="",0,INDEX(データベース!$F$2:$F$5,MATCH(H39,データベース!$E$2:$E$5,0)))-1,4,1),0),))*100
+IF(K39="",0,INDEX(データベース!$D$48:$D$52,MATCH(K39,OFFSET(データベース!$A$48,0,IF(H39="",0,INDEX(データベース!$F$2:$F$5,MATCH(H39,データベース!$E$2:$E$5,0)))-1,5,1),0),))*10
+IF(M39="",0,INDEX(データベース!$D$56:$D$62,MATCH(M39,OFFSET(データベース!$A$56,0,IF(H39="",0,INDEX(データベース!$F$2:$F$5,MATCH(H39,データベース!$E$2:$E$5,0)))-1,7,1),0),))</f>
        <v>0</v>
      </c>
      <c r="P39">
        <f>IF(O39="",0,INDEX(データベース!$H$2:$H$4,MATCH(O39,データベース!$G$2:$G$4,0)))</f>
        <v>0</v>
      </c>
      <c r="S39" s="18" t="str">
        <f t="shared" si="2"/>
        <v>服装・</v>
      </c>
      <c r="U39" s="18" t="str">
        <f t="shared" si="3"/>
        <v>感情・</v>
      </c>
      <c r="W39" s="18" cm="1">
        <f t="array" aca="1" ref="W39" ca="1">IF(Q39="",0,INDEX(データベース!$F$2:$F$5,MATCH(Q39,データベース!$E$2:$E$5,0)))*1000
+IF(R39="",0,INDEX(データベース!$D$41:$D$44,MATCH(R39,OFFSET(データベース!$A$41,0,IF(Q39="",0,INDEX(データベース!$F$2:$F$5,MATCH(Q39,データベース!$E$2:$E$5,0)))-1,4,1),0),))*100
+IF(T39="",0,INDEX(データベース!$D$48:$D$52,MATCH(T39,OFFSET(データベース!$A$48,0,IF(Q39="",0,INDEX(データベース!$F$2:$F$5,MATCH(Q39,データベース!$E$2:$E$5,0)))-1,5,1),0),))*10
+IF(V39="",0,INDEX(データベース!$D$56:$D$62,MATCH(V39,OFFSET(データベース!$A$56,0,IF(Q39="",0,INDEX(データベース!$F$2:$F$5,MATCH(Q39,データベース!$E$2:$E$5,0)))-1,7,1),0),))</f>
        <v>0</v>
      </c>
      <c r="Y39">
        <f>IF(X39="",0,INDEX(データベース!$H$2:$H$4,MATCH(X39,データベース!$G$2:$G$4,0)))</f>
        <v>0</v>
      </c>
      <c r="AB39" s="9" t="str">
        <f t="shared" si="4"/>
        <v>服装・</v>
      </c>
      <c r="AD39" s="9" t="str">
        <f t="shared" si="5"/>
        <v>感情・</v>
      </c>
      <c r="AF39" s="9" cm="1">
        <f t="array" aca="1" ref="AF39" ca="1">IF(Z39="",0,INDEX(データベース!$F$2:$F$5,MATCH(Z39,データベース!$E$2:$E$5,0)))*1000
+IF(AA39="",0,INDEX(データベース!$D$41:$D$44,MATCH(AA39,OFFSET(データベース!$A$41,0,IF(Z39="",0,INDEX(データベース!$F$2:$F$5,MATCH(Z39,データベース!$E$2:$E$5,0)))-1,4,1),0),))*100
+IF(AC39="",0,INDEX(データベース!$D$48:$D$52,MATCH(AC39,OFFSET(データベース!$A$48,0,IF(Z39="",0,INDEX(データベース!$F$2:$F$5,MATCH(Z39,データベース!$E$2:$E$5,0)))-1,5,1),0),))*10
+IF(AE39="",0,INDEX(データベース!$D$56:$D$62,MATCH(AE39,OFFSET(データベース!$A$56,0,IF(Z39="",0,INDEX(データベース!$F$2:$F$5,MATCH(Z39,データベース!$E$2:$E$5,0)))-1,7,1),0),))</f>
        <v>0</v>
      </c>
      <c r="AH39">
        <f>IF(AG39="",0,INDEX(データベース!$H$2:$H$4,MATCH(AG39,データベース!$G$2:$G$4,0)))</f>
        <v>0</v>
      </c>
      <c r="AJ39">
        <f>IF(AI39="",0,INDEX(データベース!J$2:J$2,MATCH(AI39,データベース!I$2:I$2,0)))</f>
        <v>0</v>
      </c>
      <c r="AL39">
        <f>IF(AK39="",0,INDEX(データベース!L$2:L$3,MATCH(AK39,データベース!K$2:K$3,0)))</f>
        <v>0</v>
      </c>
      <c r="AN39">
        <f>IF(AM39="",0,INDEX(データベース!N$2:N$5,MATCH(AM39,データベース!M$2:M$5,0)))</f>
        <v>0</v>
      </c>
      <c r="AO39" s="4"/>
      <c r="AP39">
        <f>IF(AO39="",0,INDEX(データベース!P$2:P$3,MATCH(AO39,データベース!O$2:O$3,0)))</f>
        <v>0</v>
      </c>
      <c r="AR39">
        <f>IF(AQ39="",0,INDEX(データベース!R$2:R$27,MATCH(AQ39,データベース!Q$2:Q$27,0)))</f>
        <v>0</v>
      </c>
      <c r="AT39">
        <f>IF(AS39="",0,INDEX(データベース!T$2:T$4,MATCH(AS39,データベース!S$2:S$4,0)))</f>
        <v>0</v>
      </c>
      <c r="AV39">
        <f>IF(AU39="",0,INDEX(データベース!V$2:V$37,MATCH(AU39,データベース!U$2:U$37,0)))</f>
        <v>0</v>
      </c>
      <c r="AX39">
        <v>0</v>
      </c>
      <c r="AZ39">
        <v>0</v>
      </c>
      <c r="BB39">
        <v>0</v>
      </c>
    </row>
    <row r="40" spans="2:54">
      <c r="B40">
        <v>0</v>
      </c>
      <c r="G40">
        <f>IF(F40="",0,INDEX(データベース!D$2:D$4,MATCH(F40,データベース!C$2:C$4,0)))</f>
        <v>0</v>
      </c>
      <c r="J40" s="19" t="str">
        <f t="shared" si="0"/>
        <v>服装・</v>
      </c>
      <c r="L40" s="19" t="str">
        <f t="shared" si="1"/>
        <v>感情・</v>
      </c>
      <c r="N40" s="19" cm="1">
        <f t="array" aca="1" ref="N40" ca="1">IF(H40="",0,INDEX(データベース!$F$2:$F$5,MATCH(H40,データベース!$E$2:$E$5,0)))*1000
+IF(I40="",0,INDEX(データベース!$D$41:$D$44,MATCH(I40,OFFSET(データベース!$A$41,0,IF(H40="",0,INDEX(データベース!$F$2:$F$5,MATCH(H40,データベース!$E$2:$E$5,0)))-1,4,1),0),))*100
+IF(K40="",0,INDEX(データベース!$D$48:$D$52,MATCH(K40,OFFSET(データベース!$A$48,0,IF(H40="",0,INDEX(データベース!$F$2:$F$5,MATCH(H40,データベース!$E$2:$E$5,0)))-1,5,1),0),))*10
+IF(M40="",0,INDEX(データベース!$D$56:$D$62,MATCH(M40,OFFSET(データベース!$A$56,0,IF(H40="",0,INDEX(データベース!$F$2:$F$5,MATCH(H40,データベース!$E$2:$E$5,0)))-1,7,1),0),))</f>
        <v>0</v>
      </c>
      <c r="P40">
        <f>IF(O40="",0,INDEX(データベース!$H$2:$H$4,MATCH(O40,データベース!$G$2:$G$4,0)))</f>
        <v>0</v>
      </c>
      <c r="S40" s="18" t="str">
        <f t="shared" si="2"/>
        <v>服装・</v>
      </c>
      <c r="U40" s="18" t="str">
        <f t="shared" si="3"/>
        <v>感情・</v>
      </c>
      <c r="W40" s="18" cm="1">
        <f t="array" aca="1" ref="W40" ca="1">IF(Q40="",0,INDEX(データベース!$F$2:$F$5,MATCH(Q40,データベース!$E$2:$E$5,0)))*1000
+IF(R40="",0,INDEX(データベース!$D$41:$D$44,MATCH(R40,OFFSET(データベース!$A$41,0,IF(Q40="",0,INDEX(データベース!$F$2:$F$5,MATCH(Q40,データベース!$E$2:$E$5,0)))-1,4,1),0),))*100
+IF(T40="",0,INDEX(データベース!$D$48:$D$52,MATCH(T40,OFFSET(データベース!$A$48,0,IF(Q40="",0,INDEX(データベース!$F$2:$F$5,MATCH(Q40,データベース!$E$2:$E$5,0)))-1,5,1),0),))*10
+IF(V40="",0,INDEX(データベース!$D$56:$D$62,MATCH(V40,OFFSET(データベース!$A$56,0,IF(Q40="",0,INDEX(データベース!$F$2:$F$5,MATCH(Q40,データベース!$E$2:$E$5,0)))-1,7,1),0),))</f>
        <v>0</v>
      </c>
      <c r="Y40">
        <f>IF(X40="",0,INDEX(データベース!$H$2:$H$4,MATCH(X40,データベース!$G$2:$G$4,0)))</f>
        <v>0</v>
      </c>
      <c r="AB40" s="9" t="str">
        <f t="shared" si="4"/>
        <v>服装・</v>
      </c>
      <c r="AD40" s="9" t="str">
        <f t="shared" si="5"/>
        <v>感情・</v>
      </c>
      <c r="AF40" s="9" cm="1">
        <f t="array" aca="1" ref="AF40" ca="1">IF(Z40="",0,INDEX(データベース!$F$2:$F$5,MATCH(Z40,データベース!$E$2:$E$5,0)))*1000
+IF(AA40="",0,INDEX(データベース!$D$41:$D$44,MATCH(AA40,OFFSET(データベース!$A$41,0,IF(Z40="",0,INDEX(データベース!$F$2:$F$5,MATCH(Z40,データベース!$E$2:$E$5,0)))-1,4,1),0),))*100
+IF(AC40="",0,INDEX(データベース!$D$48:$D$52,MATCH(AC40,OFFSET(データベース!$A$48,0,IF(Z40="",0,INDEX(データベース!$F$2:$F$5,MATCH(Z40,データベース!$E$2:$E$5,0)))-1,5,1),0),))*10
+IF(AE40="",0,INDEX(データベース!$D$56:$D$62,MATCH(AE40,OFFSET(データベース!$A$56,0,IF(Z40="",0,INDEX(データベース!$F$2:$F$5,MATCH(Z40,データベース!$E$2:$E$5,0)))-1,7,1),0),))</f>
        <v>0</v>
      </c>
      <c r="AH40">
        <f>IF(AG40="",0,INDEX(データベース!$H$2:$H$4,MATCH(AG40,データベース!$G$2:$G$4,0)))</f>
        <v>0</v>
      </c>
      <c r="AJ40">
        <f>IF(AI40="",0,INDEX(データベース!J$2:J$2,MATCH(AI40,データベース!I$2:I$2,0)))</f>
        <v>0</v>
      </c>
      <c r="AL40">
        <f>IF(AK40="",0,INDEX(データベース!L$2:L$3,MATCH(AK40,データベース!K$2:K$3,0)))</f>
        <v>0</v>
      </c>
      <c r="AN40">
        <f>IF(AM40="",0,INDEX(データベース!N$2:N$5,MATCH(AM40,データベース!M$2:M$5,0)))</f>
        <v>0</v>
      </c>
      <c r="AO40" s="4"/>
      <c r="AP40">
        <f>IF(AO40="",0,INDEX(データベース!P$2:P$3,MATCH(AO40,データベース!O$2:O$3,0)))</f>
        <v>0</v>
      </c>
      <c r="AR40">
        <f>IF(AQ40="",0,INDEX(データベース!R$2:R$27,MATCH(AQ40,データベース!Q$2:Q$27,0)))</f>
        <v>0</v>
      </c>
      <c r="AT40">
        <f>IF(AS40="",0,INDEX(データベース!T$2:T$4,MATCH(AS40,データベース!S$2:S$4,0)))</f>
        <v>0</v>
      </c>
      <c r="AV40">
        <f>IF(AU40="",0,INDEX(データベース!V$2:V$37,MATCH(AU40,データベース!U$2:U$37,0)))</f>
        <v>0</v>
      </c>
      <c r="AX40">
        <v>0</v>
      </c>
      <c r="AZ40">
        <v>0</v>
      </c>
      <c r="BB40">
        <v>0</v>
      </c>
    </row>
    <row r="41" spans="2:54">
      <c r="B41">
        <v>0</v>
      </c>
      <c r="G41">
        <f>IF(F41="",0,INDEX(データベース!D$2:D$4,MATCH(F41,データベース!C$2:C$4,0)))</f>
        <v>0</v>
      </c>
      <c r="J41" s="19" t="str">
        <f t="shared" si="0"/>
        <v>服装・</v>
      </c>
      <c r="L41" s="19" t="str">
        <f t="shared" si="1"/>
        <v>感情・</v>
      </c>
      <c r="N41" s="19" cm="1">
        <f t="array" aca="1" ref="N41" ca="1">IF(H41="",0,INDEX(データベース!$F$2:$F$5,MATCH(H41,データベース!$E$2:$E$5,0)))*1000
+IF(I41="",0,INDEX(データベース!$D$41:$D$44,MATCH(I41,OFFSET(データベース!$A$41,0,IF(H41="",0,INDEX(データベース!$F$2:$F$5,MATCH(H41,データベース!$E$2:$E$5,0)))-1,4,1),0),))*100
+IF(K41="",0,INDEX(データベース!$D$48:$D$52,MATCH(K41,OFFSET(データベース!$A$48,0,IF(H41="",0,INDEX(データベース!$F$2:$F$5,MATCH(H41,データベース!$E$2:$E$5,0)))-1,5,1),0),))*10
+IF(M41="",0,INDEX(データベース!$D$56:$D$62,MATCH(M41,OFFSET(データベース!$A$56,0,IF(H41="",0,INDEX(データベース!$F$2:$F$5,MATCH(H41,データベース!$E$2:$E$5,0)))-1,7,1),0),))</f>
        <v>0</v>
      </c>
      <c r="P41">
        <f>IF(O41="",0,INDEX(データベース!$H$2:$H$4,MATCH(O41,データベース!$G$2:$G$4,0)))</f>
        <v>0</v>
      </c>
      <c r="S41" s="18" t="str">
        <f t="shared" si="2"/>
        <v>服装・</v>
      </c>
      <c r="U41" s="18" t="str">
        <f t="shared" si="3"/>
        <v>感情・</v>
      </c>
      <c r="W41" s="18" cm="1">
        <f t="array" aca="1" ref="W41" ca="1">IF(Q41="",0,INDEX(データベース!$F$2:$F$5,MATCH(Q41,データベース!$E$2:$E$5,0)))*1000
+IF(R41="",0,INDEX(データベース!$D$41:$D$44,MATCH(R41,OFFSET(データベース!$A$41,0,IF(Q41="",0,INDEX(データベース!$F$2:$F$5,MATCH(Q41,データベース!$E$2:$E$5,0)))-1,4,1),0),))*100
+IF(T41="",0,INDEX(データベース!$D$48:$D$52,MATCH(T41,OFFSET(データベース!$A$48,0,IF(Q41="",0,INDEX(データベース!$F$2:$F$5,MATCH(Q41,データベース!$E$2:$E$5,0)))-1,5,1),0),))*10
+IF(V41="",0,INDEX(データベース!$D$56:$D$62,MATCH(V41,OFFSET(データベース!$A$56,0,IF(Q41="",0,INDEX(データベース!$F$2:$F$5,MATCH(Q41,データベース!$E$2:$E$5,0)))-1,7,1),0),))</f>
        <v>0</v>
      </c>
      <c r="Y41">
        <f>IF(X41="",0,INDEX(データベース!$H$2:$H$4,MATCH(X41,データベース!$G$2:$G$4,0)))</f>
        <v>0</v>
      </c>
      <c r="AB41" s="9" t="str">
        <f t="shared" si="4"/>
        <v>服装・</v>
      </c>
      <c r="AD41" s="9" t="str">
        <f t="shared" si="5"/>
        <v>感情・</v>
      </c>
      <c r="AF41" s="9" cm="1">
        <f t="array" aca="1" ref="AF41" ca="1">IF(Z41="",0,INDEX(データベース!$F$2:$F$5,MATCH(Z41,データベース!$E$2:$E$5,0)))*1000
+IF(AA41="",0,INDEX(データベース!$D$41:$D$44,MATCH(AA41,OFFSET(データベース!$A$41,0,IF(Z41="",0,INDEX(データベース!$F$2:$F$5,MATCH(Z41,データベース!$E$2:$E$5,0)))-1,4,1),0),))*100
+IF(AC41="",0,INDEX(データベース!$D$48:$D$52,MATCH(AC41,OFFSET(データベース!$A$48,0,IF(Z41="",0,INDEX(データベース!$F$2:$F$5,MATCH(Z41,データベース!$E$2:$E$5,0)))-1,5,1),0),))*10
+IF(AE41="",0,INDEX(データベース!$D$56:$D$62,MATCH(AE41,OFFSET(データベース!$A$56,0,IF(Z41="",0,INDEX(データベース!$F$2:$F$5,MATCH(Z41,データベース!$E$2:$E$5,0)))-1,7,1),0),))</f>
        <v>0</v>
      </c>
      <c r="AH41">
        <f>IF(AG41="",0,INDEX(データベース!$H$2:$H$4,MATCH(AG41,データベース!$G$2:$G$4,0)))</f>
        <v>0</v>
      </c>
      <c r="AJ41">
        <f>IF(AI41="",0,INDEX(データベース!J$2:J$2,MATCH(AI41,データベース!I$2:I$2,0)))</f>
        <v>0</v>
      </c>
      <c r="AL41">
        <f>IF(AK41="",0,INDEX(データベース!L$2:L$3,MATCH(AK41,データベース!K$2:K$3,0)))</f>
        <v>0</v>
      </c>
      <c r="AN41">
        <f>IF(AM41="",0,INDEX(データベース!N$2:N$5,MATCH(AM41,データベース!M$2:M$5,0)))</f>
        <v>0</v>
      </c>
      <c r="AO41" s="4"/>
      <c r="AP41">
        <f>IF(AO41="",0,INDEX(データベース!P$2:P$3,MATCH(AO41,データベース!O$2:O$3,0)))</f>
        <v>0</v>
      </c>
      <c r="AR41">
        <f>IF(AQ41="",0,INDEX(データベース!R$2:R$27,MATCH(AQ41,データベース!Q$2:Q$27,0)))</f>
        <v>0</v>
      </c>
      <c r="AT41">
        <f>IF(AS41="",0,INDEX(データベース!T$2:T$4,MATCH(AS41,データベース!S$2:S$4,0)))</f>
        <v>0</v>
      </c>
      <c r="AV41">
        <f>IF(AU41="",0,INDEX(データベース!V$2:V$37,MATCH(AU41,データベース!U$2:U$37,0)))</f>
        <v>0</v>
      </c>
      <c r="AX41">
        <v>0</v>
      </c>
      <c r="AZ41">
        <v>0</v>
      </c>
      <c r="BB41">
        <v>0</v>
      </c>
    </row>
    <row r="42" spans="2:54">
      <c r="B42">
        <v>0</v>
      </c>
      <c r="G42">
        <f>IF(F42="",0,INDEX(データベース!D$2:D$4,MATCH(F42,データベース!C$2:C$4,0)))</f>
        <v>0</v>
      </c>
      <c r="J42" s="19" t="str">
        <f t="shared" si="0"/>
        <v>服装・</v>
      </c>
      <c r="L42" s="19" t="str">
        <f t="shared" si="1"/>
        <v>感情・</v>
      </c>
      <c r="N42" s="19" cm="1">
        <f t="array" aca="1" ref="N42" ca="1">IF(H42="",0,INDEX(データベース!$F$2:$F$5,MATCH(H42,データベース!$E$2:$E$5,0)))*1000
+IF(I42="",0,INDEX(データベース!$D$41:$D$44,MATCH(I42,OFFSET(データベース!$A$41,0,IF(H42="",0,INDEX(データベース!$F$2:$F$5,MATCH(H42,データベース!$E$2:$E$5,0)))-1,4,1),0),))*100
+IF(K42="",0,INDEX(データベース!$D$48:$D$52,MATCH(K42,OFFSET(データベース!$A$48,0,IF(H42="",0,INDEX(データベース!$F$2:$F$5,MATCH(H42,データベース!$E$2:$E$5,0)))-1,5,1),0),))*10
+IF(M42="",0,INDEX(データベース!$D$56:$D$62,MATCH(M42,OFFSET(データベース!$A$56,0,IF(H42="",0,INDEX(データベース!$F$2:$F$5,MATCH(H42,データベース!$E$2:$E$5,0)))-1,7,1),0),))</f>
        <v>0</v>
      </c>
      <c r="P42">
        <f>IF(O42="",0,INDEX(データベース!$H$2:$H$4,MATCH(O42,データベース!$G$2:$G$4,0)))</f>
        <v>0</v>
      </c>
      <c r="S42" s="18" t="str">
        <f t="shared" si="2"/>
        <v>服装・</v>
      </c>
      <c r="U42" s="18" t="str">
        <f t="shared" si="3"/>
        <v>感情・</v>
      </c>
      <c r="W42" s="18" cm="1">
        <f t="array" aca="1" ref="W42" ca="1">IF(Q42="",0,INDEX(データベース!$F$2:$F$5,MATCH(Q42,データベース!$E$2:$E$5,0)))*1000
+IF(R42="",0,INDEX(データベース!$D$41:$D$44,MATCH(R42,OFFSET(データベース!$A$41,0,IF(Q42="",0,INDEX(データベース!$F$2:$F$5,MATCH(Q42,データベース!$E$2:$E$5,0)))-1,4,1),0),))*100
+IF(T42="",0,INDEX(データベース!$D$48:$D$52,MATCH(T42,OFFSET(データベース!$A$48,0,IF(Q42="",0,INDEX(データベース!$F$2:$F$5,MATCH(Q42,データベース!$E$2:$E$5,0)))-1,5,1),0),))*10
+IF(V42="",0,INDEX(データベース!$D$56:$D$62,MATCH(V42,OFFSET(データベース!$A$56,0,IF(Q42="",0,INDEX(データベース!$F$2:$F$5,MATCH(Q42,データベース!$E$2:$E$5,0)))-1,7,1),0),))</f>
        <v>0</v>
      </c>
      <c r="Y42">
        <f>IF(X42="",0,INDEX(データベース!$H$2:$H$4,MATCH(X42,データベース!$G$2:$G$4,0)))</f>
        <v>0</v>
      </c>
      <c r="AB42" s="9" t="str">
        <f t="shared" si="4"/>
        <v>服装・</v>
      </c>
      <c r="AD42" s="9" t="str">
        <f t="shared" si="5"/>
        <v>感情・</v>
      </c>
      <c r="AF42" s="9" cm="1">
        <f t="array" aca="1" ref="AF42" ca="1">IF(Z42="",0,INDEX(データベース!$F$2:$F$5,MATCH(Z42,データベース!$E$2:$E$5,0)))*1000
+IF(AA42="",0,INDEX(データベース!$D$41:$D$44,MATCH(AA42,OFFSET(データベース!$A$41,0,IF(Z42="",0,INDEX(データベース!$F$2:$F$5,MATCH(Z42,データベース!$E$2:$E$5,0)))-1,4,1),0),))*100
+IF(AC42="",0,INDEX(データベース!$D$48:$D$52,MATCH(AC42,OFFSET(データベース!$A$48,0,IF(Z42="",0,INDEX(データベース!$F$2:$F$5,MATCH(Z42,データベース!$E$2:$E$5,0)))-1,5,1),0),))*10
+IF(AE42="",0,INDEX(データベース!$D$56:$D$62,MATCH(AE42,OFFSET(データベース!$A$56,0,IF(Z42="",0,INDEX(データベース!$F$2:$F$5,MATCH(Z42,データベース!$E$2:$E$5,0)))-1,7,1),0),))</f>
        <v>0</v>
      </c>
      <c r="AH42">
        <f>IF(AG42="",0,INDEX(データベース!$H$2:$H$4,MATCH(AG42,データベース!$G$2:$G$4,0)))</f>
        <v>0</v>
      </c>
      <c r="AJ42">
        <f>IF(AI42="",0,INDEX(データベース!J$2:J$2,MATCH(AI42,データベース!I$2:I$2,0)))</f>
        <v>0</v>
      </c>
      <c r="AL42">
        <f>IF(AK42="",0,INDEX(データベース!L$2:L$3,MATCH(AK42,データベース!K$2:K$3,0)))</f>
        <v>0</v>
      </c>
      <c r="AN42">
        <f>IF(AM42="",0,INDEX(データベース!N$2:N$5,MATCH(AM42,データベース!M$2:M$5,0)))</f>
        <v>0</v>
      </c>
      <c r="AO42" s="4"/>
      <c r="AP42">
        <f>IF(AO42="",0,INDEX(データベース!P$2:P$3,MATCH(AO42,データベース!O$2:O$3,0)))</f>
        <v>0</v>
      </c>
      <c r="AR42">
        <f>IF(AQ42="",0,INDEX(データベース!R$2:R$27,MATCH(AQ42,データベース!Q$2:Q$27,0)))</f>
        <v>0</v>
      </c>
      <c r="AT42">
        <f>IF(AS42="",0,INDEX(データベース!T$2:T$4,MATCH(AS42,データベース!S$2:S$4,0)))</f>
        <v>0</v>
      </c>
      <c r="AV42">
        <f>IF(AU42="",0,INDEX(データベース!V$2:V$37,MATCH(AU42,データベース!U$2:U$37,0)))</f>
        <v>0</v>
      </c>
      <c r="AX42">
        <v>0</v>
      </c>
      <c r="AZ42">
        <v>0</v>
      </c>
      <c r="BB42">
        <v>0</v>
      </c>
    </row>
    <row r="43" spans="2:54">
      <c r="B43">
        <v>0</v>
      </c>
      <c r="G43">
        <f>IF(F43="",0,INDEX(データベース!D$2:D$4,MATCH(F43,データベース!C$2:C$4,0)))</f>
        <v>0</v>
      </c>
      <c r="J43" s="19" t="str">
        <f t="shared" si="0"/>
        <v>服装・</v>
      </c>
      <c r="L43" s="19" t="str">
        <f t="shared" si="1"/>
        <v>感情・</v>
      </c>
      <c r="N43" s="19" cm="1">
        <f t="array" aca="1" ref="N43" ca="1">IF(H43="",0,INDEX(データベース!$F$2:$F$5,MATCH(H43,データベース!$E$2:$E$5,0)))*1000
+IF(I43="",0,INDEX(データベース!$D$41:$D$44,MATCH(I43,OFFSET(データベース!$A$41,0,IF(H43="",0,INDEX(データベース!$F$2:$F$5,MATCH(H43,データベース!$E$2:$E$5,0)))-1,4,1),0),))*100
+IF(K43="",0,INDEX(データベース!$D$48:$D$52,MATCH(K43,OFFSET(データベース!$A$48,0,IF(H43="",0,INDEX(データベース!$F$2:$F$5,MATCH(H43,データベース!$E$2:$E$5,0)))-1,5,1),0),))*10
+IF(M43="",0,INDEX(データベース!$D$56:$D$62,MATCH(M43,OFFSET(データベース!$A$56,0,IF(H43="",0,INDEX(データベース!$F$2:$F$5,MATCH(H43,データベース!$E$2:$E$5,0)))-1,7,1),0),))</f>
        <v>0</v>
      </c>
      <c r="P43">
        <f>IF(O43="",0,INDEX(データベース!$H$2:$H$4,MATCH(O43,データベース!$G$2:$G$4,0)))</f>
        <v>0</v>
      </c>
      <c r="S43" s="18" t="str">
        <f t="shared" si="2"/>
        <v>服装・</v>
      </c>
      <c r="U43" s="18" t="str">
        <f t="shared" si="3"/>
        <v>感情・</v>
      </c>
      <c r="W43" s="18" cm="1">
        <f t="array" aca="1" ref="W43" ca="1">IF(Q43="",0,INDEX(データベース!$F$2:$F$5,MATCH(Q43,データベース!$E$2:$E$5,0)))*1000
+IF(R43="",0,INDEX(データベース!$D$41:$D$44,MATCH(R43,OFFSET(データベース!$A$41,0,IF(Q43="",0,INDEX(データベース!$F$2:$F$5,MATCH(Q43,データベース!$E$2:$E$5,0)))-1,4,1),0),))*100
+IF(T43="",0,INDEX(データベース!$D$48:$D$52,MATCH(T43,OFFSET(データベース!$A$48,0,IF(Q43="",0,INDEX(データベース!$F$2:$F$5,MATCH(Q43,データベース!$E$2:$E$5,0)))-1,5,1),0),))*10
+IF(V43="",0,INDEX(データベース!$D$56:$D$62,MATCH(V43,OFFSET(データベース!$A$56,0,IF(Q43="",0,INDEX(データベース!$F$2:$F$5,MATCH(Q43,データベース!$E$2:$E$5,0)))-1,7,1),0),))</f>
        <v>0</v>
      </c>
      <c r="Y43">
        <f>IF(X43="",0,INDEX(データベース!$H$2:$H$4,MATCH(X43,データベース!$G$2:$G$4,0)))</f>
        <v>0</v>
      </c>
      <c r="AB43" s="9" t="str">
        <f t="shared" si="4"/>
        <v>服装・</v>
      </c>
      <c r="AD43" s="9" t="str">
        <f t="shared" si="5"/>
        <v>感情・</v>
      </c>
      <c r="AF43" s="9" cm="1">
        <f t="array" aca="1" ref="AF43" ca="1">IF(Z43="",0,INDEX(データベース!$F$2:$F$5,MATCH(Z43,データベース!$E$2:$E$5,0)))*1000
+IF(AA43="",0,INDEX(データベース!$D$41:$D$44,MATCH(AA43,OFFSET(データベース!$A$41,0,IF(Z43="",0,INDEX(データベース!$F$2:$F$5,MATCH(Z43,データベース!$E$2:$E$5,0)))-1,4,1),0),))*100
+IF(AC43="",0,INDEX(データベース!$D$48:$D$52,MATCH(AC43,OFFSET(データベース!$A$48,0,IF(Z43="",0,INDEX(データベース!$F$2:$F$5,MATCH(Z43,データベース!$E$2:$E$5,0)))-1,5,1),0),))*10
+IF(AE43="",0,INDEX(データベース!$D$56:$D$62,MATCH(AE43,OFFSET(データベース!$A$56,0,IF(Z43="",0,INDEX(データベース!$F$2:$F$5,MATCH(Z43,データベース!$E$2:$E$5,0)))-1,7,1),0),))</f>
        <v>0</v>
      </c>
      <c r="AH43">
        <f>IF(AG43="",0,INDEX(データベース!$H$2:$H$4,MATCH(AG43,データベース!$G$2:$G$4,0)))</f>
        <v>0</v>
      </c>
      <c r="AJ43">
        <f>IF(AI43="",0,INDEX(データベース!J$2:J$2,MATCH(AI43,データベース!I$2:I$2,0)))</f>
        <v>0</v>
      </c>
      <c r="AL43">
        <f>IF(AK43="",0,INDEX(データベース!L$2:L$3,MATCH(AK43,データベース!K$2:K$3,0)))</f>
        <v>0</v>
      </c>
      <c r="AN43">
        <f>IF(AM43="",0,INDEX(データベース!N$2:N$5,MATCH(AM43,データベース!M$2:M$5,0)))</f>
        <v>0</v>
      </c>
      <c r="AO43" s="4"/>
      <c r="AP43">
        <f>IF(AO43="",0,INDEX(データベース!P$2:P$3,MATCH(AO43,データベース!O$2:O$3,0)))</f>
        <v>0</v>
      </c>
      <c r="AR43">
        <f>IF(AQ43="",0,INDEX(データベース!R$2:R$27,MATCH(AQ43,データベース!Q$2:Q$27,0)))</f>
        <v>0</v>
      </c>
      <c r="AT43">
        <f>IF(AS43="",0,INDEX(データベース!T$2:T$4,MATCH(AS43,データベース!S$2:S$4,0)))</f>
        <v>0</v>
      </c>
      <c r="AV43">
        <f>IF(AU43="",0,INDEX(データベース!V$2:V$37,MATCH(AU43,データベース!U$2:U$37,0)))</f>
        <v>0</v>
      </c>
      <c r="AX43">
        <v>0</v>
      </c>
      <c r="AZ43">
        <v>0</v>
      </c>
      <c r="BB43">
        <v>0</v>
      </c>
    </row>
    <row r="44" spans="2:54">
      <c r="B44">
        <v>0</v>
      </c>
      <c r="G44">
        <f>IF(F44="",0,INDEX(データベース!D$2:D$4,MATCH(F44,データベース!C$2:C$4,0)))</f>
        <v>0</v>
      </c>
      <c r="J44" s="19" t="str">
        <f t="shared" si="0"/>
        <v>服装・</v>
      </c>
      <c r="L44" s="19" t="str">
        <f t="shared" si="1"/>
        <v>感情・</v>
      </c>
      <c r="N44" s="19" cm="1">
        <f t="array" aca="1" ref="N44" ca="1">IF(H44="",0,INDEX(データベース!$F$2:$F$5,MATCH(H44,データベース!$E$2:$E$5,0)))*1000
+IF(I44="",0,INDEX(データベース!$D$41:$D$44,MATCH(I44,OFFSET(データベース!$A$41,0,IF(H44="",0,INDEX(データベース!$F$2:$F$5,MATCH(H44,データベース!$E$2:$E$5,0)))-1,4,1),0),))*100
+IF(K44="",0,INDEX(データベース!$D$48:$D$52,MATCH(K44,OFFSET(データベース!$A$48,0,IF(H44="",0,INDEX(データベース!$F$2:$F$5,MATCH(H44,データベース!$E$2:$E$5,0)))-1,5,1),0),))*10
+IF(M44="",0,INDEX(データベース!$D$56:$D$62,MATCH(M44,OFFSET(データベース!$A$56,0,IF(H44="",0,INDEX(データベース!$F$2:$F$5,MATCH(H44,データベース!$E$2:$E$5,0)))-1,7,1),0),))</f>
        <v>0</v>
      </c>
      <c r="P44">
        <f>IF(O44="",0,INDEX(データベース!$H$2:$H$4,MATCH(O44,データベース!$G$2:$G$4,0)))</f>
        <v>0</v>
      </c>
      <c r="S44" s="18" t="str">
        <f t="shared" si="2"/>
        <v>服装・</v>
      </c>
      <c r="U44" s="18" t="str">
        <f t="shared" si="3"/>
        <v>感情・</v>
      </c>
      <c r="W44" s="18" cm="1">
        <f t="array" aca="1" ref="W44" ca="1">IF(Q44="",0,INDEX(データベース!$F$2:$F$5,MATCH(Q44,データベース!$E$2:$E$5,0)))*1000
+IF(R44="",0,INDEX(データベース!$D$41:$D$44,MATCH(R44,OFFSET(データベース!$A$41,0,IF(Q44="",0,INDEX(データベース!$F$2:$F$5,MATCH(Q44,データベース!$E$2:$E$5,0)))-1,4,1),0),))*100
+IF(T44="",0,INDEX(データベース!$D$48:$D$52,MATCH(T44,OFFSET(データベース!$A$48,0,IF(Q44="",0,INDEX(データベース!$F$2:$F$5,MATCH(Q44,データベース!$E$2:$E$5,0)))-1,5,1),0),))*10
+IF(V44="",0,INDEX(データベース!$D$56:$D$62,MATCH(V44,OFFSET(データベース!$A$56,0,IF(Q44="",0,INDEX(データベース!$F$2:$F$5,MATCH(Q44,データベース!$E$2:$E$5,0)))-1,7,1),0),))</f>
        <v>0</v>
      </c>
      <c r="Y44">
        <f>IF(X44="",0,INDEX(データベース!$H$2:$H$4,MATCH(X44,データベース!$G$2:$G$4,0)))</f>
        <v>0</v>
      </c>
      <c r="AB44" s="9" t="str">
        <f t="shared" si="4"/>
        <v>服装・</v>
      </c>
      <c r="AD44" s="9" t="str">
        <f t="shared" si="5"/>
        <v>感情・</v>
      </c>
      <c r="AF44" s="9" cm="1">
        <f t="array" aca="1" ref="AF44" ca="1">IF(Z44="",0,INDEX(データベース!$F$2:$F$5,MATCH(Z44,データベース!$E$2:$E$5,0)))*1000
+IF(AA44="",0,INDEX(データベース!$D$41:$D$44,MATCH(AA44,OFFSET(データベース!$A$41,0,IF(Z44="",0,INDEX(データベース!$F$2:$F$5,MATCH(Z44,データベース!$E$2:$E$5,0)))-1,4,1),0),))*100
+IF(AC44="",0,INDEX(データベース!$D$48:$D$52,MATCH(AC44,OFFSET(データベース!$A$48,0,IF(Z44="",0,INDEX(データベース!$F$2:$F$5,MATCH(Z44,データベース!$E$2:$E$5,0)))-1,5,1),0),))*10
+IF(AE44="",0,INDEX(データベース!$D$56:$D$62,MATCH(AE44,OFFSET(データベース!$A$56,0,IF(Z44="",0,INDEX(データベース!$F$2:$F$5,MATCH(Z44,データベース!$E$2:$E$5,0)))-1,7,1),0),))</f>
        <v>0</v>
      </c>
      <c r="AH44">
        <f>IF(AG44="",0,INDEX(データベース!$H$2:$H$4,MATCH(AG44,データベース!$G$2:$G$4,0)))</f>
        <v>0</v>
      </c>
      <c r="AJ44">
        <f>IF(AI44="",0,INDEX(データベース!J$2:J$2,MATCH(AI44,データベース!I$2:I$2,0)))</f>
        <v>0</v>
      </c>
      <c r="AL44">
        <f>IF(AK44="",0,INDEX(データベース!L$2:L$3,MATCH(AK44,データベース!K$2:K$3,0)))</f>
        <v>0</v>
      </c>
      <c r="AN44">
        <f>IF(AM44="",0,INDEX(データベース!N$2:N$5,MATCH(AM44,データベース!M$2:M$5,0)))</f>
        <v>0</v>
      </c>
      <c r="AO44" s="4"/>
      <c r="AP44">
        <f>IF(AO44="",0,INDEX(データベース!P$2:P$3,MATCH(AO44,データベース!O$2:O$3,0)))</f>
        <v>0</v>
      </c>
      <c r="AR44">
        <f>IF(AQ44="",0,INDEX(データベース!R$2:R$27,MATCH(AQ44,データベース!Q$2:Q$27,0)))</f>
        <v>0</v>
      </c>
      <c r="AT44">
        <f>IF(AS44="",0,INDEX(データベース!T$2:T$4,MATCH(AS44,データベース!S$2:S$4,0)))</f>
        <v>0</v>
      </c>
      <c r="AV44">
        <f>IF(AU44="",0,INDEX(データベース!V$2:V$37,MATCH(AU44,データベース!U$2:U$37,0)))</f>
        <v>0</v>
      </c>
      <c r="AX44">
        <v>0</v>
      </c>
      <c r="AZ44">
        <v>0</v>
      </c>
      <c r="BB44">
        <v>0</v>
      </c>
    </row>
    <row r="45" spans="2:54">
      <c r="B45">
        <v>0</v>
      </c>
      <c r="G45">
        <f>IF(F45="",0,INDEX(データベース!D$2:D$4,MATCH(F45,データベース!C$2:C$4,0)))</f>
        <v>0</v>
      </c>
      <c r="J45" s="19" t="str">
        <f t="shared" si="0"/>
        <v>服装・</v>
      </c>
      <c r="L45" s="19" t="str">
        <f t="shared" si="1"/>
        <v>感情・</v>
      </c>
      <c r="N45" s="19" cm="1">
        <f t="array" aca="1" ref="N45" ca="1">IF(H45="",0,INDEX(データベース!$F$2:$F$5,MATCH(H45,データベース!$E$2:$E$5,0)))*1000
+IF(I45="",0,INDEX(データベース!$D$41:$D$44,MATCH(I45,OFFSET(データベース!$A$41,0,IF(H45="",0,INDEX(データベース!$F$2:$F$5,MATCH(H45,データベース!$E$2:$E$5,0)))-1,4,1),0),))*100
+IF(K45="",0,INDEX(データベース!$D$48:$D$52,MATCH(K45,OFFSET(データベース!$A$48,0,IF(H45="",0,INDEX(データベース!$F$2:$F$5,MATCH(H45,データベース!$E$2:$E$5,0)))-1,5,1),0),))*10
+IF(M45="",0,INDEX(データベース!$D$56:$D$62,MATCH(M45,OFFSET(データベース!$A$56,0,IF(H45="",0,INDEX(データベース!$F$2:$F$5,MATCH(H45,データベース!$E$2:$E$5,0)))-1,7,1),0),))</f>
        <v>0</v>
      </c>
      <c r="P45">
        <f>IF(O45="",0,INDEX(データベース!$H$2:$H$4,MATCH(O45,データベース!$G$2:$G$4,0)))</f>
        <v>0</v>
      </c>
      <c r="S45" s="18" t="str">
        <f t="shared" si="2"/>
        <v>服装・</v>
      </c>
      <c r="U45" s="18" t="str">
        <f t="shared" si="3"/>
        <v>感情・</v>
      </c>
      <c r="W45" s="18" cm="1">
        <f t="array" aca="1" ref="W45" ca="1">IF(Q45="",0,INDEX(データベース!$F$2:$F$5,MATCH(Q45,データベース!$E$2:$E$5,0)))*1000
+IF(R45="",0,INDEX(データベース!$D$41:$D$44,MATCH(R45,OFFSET(データベース!$A$41,0,IF(Q45="",0,INDEX(データベース!$F$2:$F$5,MATCH(Q45,データベース!$E$2:$E$5,0)))-1,4,1),0),))*100
+IF(T45="",0,INDEX(データベース!$D$48:$D$52,MATCH(T45,OFFSET(データベース!$A$48,0,IF(Q45="",0,INDEX(データベース!$F$2:$F$5,MATCH(Q45,データベース!$E$2:$E$5,0)))-1,5,1),0),))*10
+IF(V45="",0,INDEX(データベース!$D$56:$D$62,MATCH(V45,OFFSET(データベース!$A$56,0,IF(Q45="",0,INDEX(データベース!$F$2:$F$5,MATCH(Q45,データベース!$E$2:$E$5,0)))-1,7,1),0),))</f>
        <v>0</v>
      </c>
      <c r="Y45">
        <f>IF(X45="",0,INDEX(データベース!$H$2:$H$4,MATCH(X45,データベース!$G$2:$G$4,0)))</f>
        <v>0</v>
      </c>
      <c r="AB45" s="9" t="str">
        <f t="shared" si="4"/>
        <v>服装・</v>
      </c>
      <c r="AD45" s="9" t="str">
        <f t="shared" si="5"/>
        <v>感情・</v>
      </c>
      <c r="AF45" s="9" cm="1">
        <f t="array" aca="1" ref="AF45" ca="1">IF(Z45="",0,INDEX(データベース!$F$2:$F$5,MATCH(Z45,データベース!$E$2:$E$5,0)))*1000
+IF(AA45="",0,INDEX(データベース!$D$41:$D$44,MATCH(AA45,OFFSET(データベース!$A$41,0,IF(Z45="",0,INDEX(データベース!$F$2:$F$5,MATCH(Z45,データベース!$E$2:$E$5,0)))-1,4,1),0),))*100
+IF(AC45="",0,INDEX(データベース!$D$48:$D$52,MATCH(AC45,OFFSET(データベース!$A$48,0,IF(Z45="",0,INDEX(データベース!$F$2:$F$5,MATCH(Z45,データベース!$E$2:$E$5,0)))-1,5,1),0),))*10
+IF(AE45="",0,INDEX(データベース!$D$56:$D$62,MATCH(AE45,OFFSET(データベース!$A$56,0,IF(Z45="",0,INDEX(データベース!$F$2:$F$5,MATCH(Z45,データベース!$E$2:$E$5,0)))-1,7,1),0),))</f>
        <v>0</v>
      </c>
      <c r="AH45">
        <f>IF(AG45="",0,INDEX(データベース!$H$2:$H$4,MATCH(AG45,データベース!$G$2:$G$4,0)))</f>
        <v>0</v>
      </c>
      <c r="AJ45">
        <f>IF(AI45="",0,INDEX(データベース!J$2:J$2,MATCH(AI45,データベース!I$2:I$2,0)))</f>
        <v>0</v>
      </c>
      <c r="AL45">
        <f>IF(AK45="",0,INDEX(データベース!L$2:L$3,MATCH(AK45,データベース!K$2:K$3,0)))</f>
        <v>0</v>
      </c>
      <c r="AN45">
        <f>IF(AM45="",0,INDEX(データベース!N$2:N$5,MATCH(AM45,データベース!M$2:M$5,0)))</f>
        <v>0</v>
      </c>
      <c r="AO45" s="4"/>
      <c r="AP45">
        <f>IF(AO45="",0,INDEX(データベース!P$2:P$3,MATCH(AO45,データベース!O$2:O$3,0)))</f>
        <v>0</v>
      </c>
      <c r="AR45">
        <f>IF(AQ45="",0,INDEX(データベース!R$2:R$27,MATCH(AQ45,データベース!Q$2:Q$27,0)))</f>
        <v>0</v>
      </c>
      <c r="AT45">
        <f>IF(AS45="",0,INDEX(データベース!T$2:T$4,MATCH(AS45,データベース!S$2:S$4,0)))</f>
        <v>0</v>
      </c>
      <c r="AV45">
        <f>IF(AU45="",0,INDEX(データベース!V$2:V$37,MATCH(AU45,データベース!U$2:U$37,0)))</f>
        <v>0</v>
      </c>
      <c r="AX45">
        <v>0</v>
      </c>
      <c r="AZ45">
        <v>0</v>
      </c>
      <c r="BB45">
        <v>0</v>
      </c>
    </row>
    <row r="46" spans="2:54">
      <c r="B46">
        <v>0</v>
      </c>
      <c r="G46">
        <f>IF(F46="",0,INDEX(データベース!D$2:D$4,MATCH(F46,データベース!C$2:C$4,0)))</f>
        <v>0</v>
      </c>
      <c r="J46" s="19" t="str">
        <f t="shared" si="0"/>
        <v>服装・</v>
      </c>
      <c r="L46" s="19" t="str">
        <f t="shared" si="1"/>
        <v>感情・</v>
      </c>
      <c r="N46" s="19" cm="1">
        <f t="array" aca="1" ref="N46" ca="1">IF(H46="",0,INDEX(データベース!$F$2:$F$5,MATCH(H46,データベース!$E$2:$E$5,0)))*1000
+IF(I46="",0,INDEX(データベース!$D$41:$D$44,MATCH(I46,OFFSET(データベース!$A$41,0,IF(H46="",0,INDEX(データベース!$F$2:$F$5,MATCH(H46,データベース!$E$2:$E$5,0)))-1,4,1),0),))*100
+IF(K46="",0,INDEX(データベース!$D$48:$D$52,MATCH(K46,OFFSET(データベース!$A$48,0,IF(H46="",0,INDEX(データベース!$F$2:$F$5,MATCH(H46,データベース!$E$2:$E$5,0)))-1,5,1),0),))*10
+IF(M46="",0,INDEX(データベース!$D$56:$D$62,MATCH(M46,OFFSET(データベース!$A$56,0,IF(H46="",0,INDEX(データベース!$F$2:$F$5,MATCH(H46,データベース!$E$2:$E$5,0)))-1,7,1),0),))</f>
        <v>0</v>
      </c>
      <c r="P46">
        <f>IF(O46="",0,INDEX(データベース!$H$2:$H$4,MATCH(O46,データベース!$G$2:$G$4,0)))</f>
        <v>0</v>
      </c>
      <c r="S46" s="18" t="str">
        <f t="shared" si="2"/>
        <v>服装・</v>
      </c>
      <c r="U46" s="18" t="str">
        <f t="shared" si="3"/>
        <v>感情・</v>
      </c>
      <c r="W46" s="18" cm="1">
        <f t="array" aca="1" ref="W46" ca="1">IF(Q46="",0,INDEX(データベース!$F$2:$F$5,MATCH(Q46,データベース!$E$2:$E$5,0)))*1000
+IF(R46="",0,INDEX(データベース!$D$41:$D$44,MATCH(R46,OFFSET(データベース!$A$41,0,IF(Q46="",0,INDEX(データベース!$F$2:$F$5,MATCH(Q46,データベース!$E$2:$E$5,0)))-1,4,1),0),))*100
+IF(T46="",0,INDEX(データベース!$D$48:$D$52,MATCH(T46,OFFSET(データベース!$A$48,0,IF(Q46="",0,INDEX(データベース!$F$2:$F$5,MATCH(Q46,データベース!$E$2:$E$5,0)))-1,5,1),0),))*10
+IF(V46="",0,INDEX(データベース!$D$56:$D$62,MATCH(V46,OFFSET(データベース!$A$56,0,IF(Q46="",0,INDEX(データベース!$F$2:$F$5,MATCH(Q46,データベース!$E$2:$E$5,0)))-1,7,1),0),))</f>
        <v>0</v>
      </c>
      <c r="Y46">
        <f>IF(X46="",0,INDEX(データベース!$H$2:$H$4,MATCH(X46,データベース!$G$2:$G$4,0)))</f>
        <v>0</v>
      </c>
      <c r="AB46" s="9" t="str">
        <f t="shared" si="4"/>
        <v>服装・</v>
      </c>
      <c r="AD46" s="9" t="str">
        <f t="shared" si="5"/>
        <v>感情・</v>
      </c>
      <c r="AF46" s="9" cm="1">
        <f t="array" aca="1" ref="AF46" ca="1">IF(Z46="",0,INDEX(データベース!$F$2:$F$5,MATCH(Z46,データベース!$E$2:$E$5,0)))*1000
+IF(AA46="",0,INDEX(データベース!$D$41:$D$44,MATCH(AA46,OFFSET(データベース!$A$41,0,IF(Z46="",0,INDEX(データベース!$F$2:$F$5,MATCH(Z46,データベース!$E$2:$E$5,0)))-1,4,1),0),))*100
+IF(AC46="",0,INDEX(データベース!$D$48:$D$52,MATCH(AC46,OFFSET(データベース!$A$48,0,IF(Z46="",0,INDEX(データベース!$F$2:$F$5,MATCH(Z46,データベース!$E$2:$E$5,0)))-1,5,1),0),))*10
+IF(AE46="",0,INDEX(データベース!$D$56:$D$62,MATCH(AE46,OFFSET(データベース!$A$56,0,IF(Z46="",0,INDEX(データベース!$F$2:$F$5,MATCH(Z46,データベース!$E$2:$E$5,0)))-1,7,1),0),))</f>
        <v>0</v>
      </c>
      <c r="AH46">
        <f>IF(AG46="",0,INDEX(データベース!$H$2:$H$4,MATCH(AG46,データベース!$G$2:$G$4,0)))</f>
        <v>0</v>
      </c>
      <c r="AJ46">
        <f>IF(AI46="",0,INDEX(データベース!J$2:J$2,MATCH(AI46,データベース!I$2:I$2,0)))</f>
        <v>0</v>
      </c>
      <c r="AL46">
        <f>IF(AK46="",0,INDEX(データベース!L$2:L$3,MATCH(AK46,データベース!K$2:K$3,0)))</f>
        <v>0</v>
      </c>
      <c r="AN46">
        <f>IF(AM46="",0,INDEX(データベース!N$2:N$5,MATCH(AM46,データベース!M$2:M$5,0)))</f>
        <v>0</v>
      </c>
      <c r="AO46" s="4"/>
      <c r="AP46">
        <f>IF(AO46="",0,INDEX(データベース!P$2:P$3,MATCH(AO46,データベース!O$2:O$3,0)))</f>
        <v>0</v>
      </c>
      <c r="AR46">
        <f>IF(AQ46="",0,INDEX(データベース!R$2:R$27,MATCH(AQ46,データベース!Q$2:Q$27,0)))</f>
        <v>0</v>
      </c>
      <c r="AT46">
        <f>IF(AS46="",0,INDEX(データベース!T$2:T$4,MATCH(AS46,データベース!S$2:S$4,0)))</f>
        <v>0</v>
      </c>
      <c r="AV46">
        <f>IF(AU46="",0,INDEX(データベース!V$2:V$37,MATCH(AU46,データベース!U$2:U$37,0)))</f>
        <v>0</v>
      </c>
      <c r="AX46">
        <v>0</v>
      </c>
      <c r="AZ46">
        <v>0</v>
      </c>
      <c r="BB46">
        <v>0</v>
      </c>
    </row>
    <row r="47" spans="2:54">
      <c r="B47">
        <v>0</v>
      </c>
      <c r="G47">
        <f>IF(F47="",0,INDEX(データベース!D$2:D$4,MATCH(F47,データベース!C$2:C$4,0)))</f>
        <v>0</v>
      </c>
      <c r="J47" s="19" t="str">
        <f t="shared" si="0"/>
        <v>服装・</v>
      </c>
      <c r="L47" s="19" t="str">
        <f t="shared" si="1"/>
        <v>感情・</v>
      </c>
      <c r="N47" s="19" cm="1">
        <f t="array" aca="1" ref="N47" ca="1">IF(H47="",0,INDEX(データベース!$F$2:$F$5,MATCH(H47,データベース!$E$2:$E$5,0)))*1000
+IF(I47="",0,INDEX(データベース!$D$41:$D$44,MATCH(I47,OFFSET(データベース!$A$41,0,IF(H47="",0,INDEX(データベース!$F$2:$F$5,MATCH(H47,データベース!$E$2:$E$5,0)))-1,4,1),0),))*100
+IF(K47="",0,INDEX(データベース!$D$48:$D$52,MATCH(K47,OFFSET(データベース!$A$48,0,IF(H47="",0,INDEX(データベース!$F$2:$F$5,MATCH(H47,データベース!$E$2:$E$5,0)))-1,5,1),0),))*10
+IF(M47="",0,INDEX(データベース!$D$56:$D$62,MATCH(M47,OFFSET(データベース!$A$56,0,IF(H47="",0,INDEX(データベース!$F$2:$F$5,MATCH(H47,データベース!$E$2:$E$5,0)))-1,7,1),0),))</f>
        <v>0</v>
      </c>
      <c r="P47">
        <f>IF(O47="",0,INDEX(データベース!$H$2:$H$4,MATCH(O47,データベース!$G$2:$G$4,0)))</f>
        <v>0</v>
      </c>
      <c r="S47" s="18" t="str">
        <f t="shared" si="2"/>
        <v>服装・</v>
      </c>
      <c r="U47" s="18" t="str">
        <f t="shared" si="3"/>
        <v>感情・</v>
      </c>
      <c r="W47" s="18" cm="1">
        <f t="array" aca="1" ref="W47" ca="1">IF(Q47="",0,INDEX(データベース!$F$2:$F$5,MATCH(Q47,データベース!$E$2:$E$5,0)))*1000
+IF(R47="",0,INDEX(データベース!$D$41:$D$44,MATCH(R47,OFFSET(データベース!$A$41,0,IF(Q47="",0,INDEX(データベース!$F$2:$F$5,MATCH(Q47,データベース!$E$2:$E$5,0)))-1,4,1),0),))*100
+IF(T47="",0,INDEX(データベース!$D$48:$D$52,MATCH(T47,OFFSET(データベース!$A$48,0,IF(Q47="",0,INDEX(データベース!$F$2:$F$5,MATCH(Q47,データベース!$E$2:$E$5,0)))-1,5,1),0),))*10
+IF(V47="",0,INDEX(データベース!$D$56:$D$62,MATCH(V47,OFFSET(データベース!$A$56,0,IF(Q47="",0,INDEX(データベース!$F$2:$F$5,MATCH(Q47,データベース!$E$2:$E$5,0)))-1,7,1),0),))</f>
        <v>0</v>
      </c>
      <c r="Y47">
        <f>IF(X47="",0,INDEX(データベース!$H$2:$H$4,MATCH(X47,データベース!$G$2:$G$4,0)))</f>
        <v>0</v>
      </c>
      <c r="AB47" s="9" t="str">
        <f t="shared" si="4"/>
        <v>服装・</v>
      </c>
      <c r="AD47" s="9" t="str">
        <f t="shared" si="5"/>
        <v>感情・</v>
      </c>
      <c r="AF47" s="9" cm="1">
        <f t="array" aca="1" ref="AF47" ca="1">IF(Z47="",0,INDEX(データベース!$F$2:$F$5,MATCH(Z47,データベース!$E$2:$E$5,0)))*1000
+IF(AA47="",0,INDEX(データベース!$D$41:$D$44,MATCH(AA47,OFFSET(データベース!$A$41,0,IF(Z47="",0,INDEX(データベース!$F$2:$F$5,MATCH(Z47,データベース!$E$2:$E$5,0)))-1,4,1),0),))*100
+IF(AC47="",0,INDEX(データベース!$D$48:$D$52,MATCH(AC47,OFFSET(データベース!$A$48,0,IF(Z47="",0,INDEX(データベース!$F$2:$F$5,MATCH(Z47,データベース!$E$2:$E$5,0)))-1,5,1),0),))*10
+IF(AE47="",0,INDEX(データベース!$D$56:$D$62,MATCH(AE47,OFFSET(データベース!$A$56,0,IF(Z47="",0,INDEX(データベース!$F$2:$F$5,MATCH(Z47,データベース!$E$2:$E$5,0)))-1,7,1),0),))</f>
        <v>0</v>
      </c>
      <c r="AH47">
        <f>IF(AG47="",0,INDEX(データベース!$H$2:$H$4,MATCH(AG47,データベース!$G$2:$G$4,0)))</f>
        <v>0</v>
      </c>
      <c r="AJ47">
        <f>IF(AI47="",0,INDEX(データベース!J$2:J$2,MATCH(AI47,データベース!I$2:I$2,0)))</f>
        <v>0</v>
      </c>
      <c r="AL47">
        <f>IF(AK47="",0,INDEX(データベース!L$2:L$3,MATCH(AK47,データベース!K$2:K$3,0)))</f>
        <v>0</v>
      </c>
      <c r="AN47">
        <f>IF(AM47="",0,INDEX(データベース!N$2:N$5,MATCH(AM47,データベース!M$2:M$5,0)))</f>
        <v>0</v>
      </c>
      <c r="AO47" s="4"/>
      <c r="AP47">
        <f>IF(AO47="",0,INDEX(データベース!P$2:P$3,MATCH(AO47,データベース!O$2:O$3,0)))</f>
        <v>0</v>
      </c>
      <c r="AR47">
        <f>IF(AQ47="",0,INDEX(データベース!R$2:R$27,MATCH(AQ47,データベース!Q$2:Q$27,0)))</f>
        <v>0</v>
      </c>
      <c r="AT47">
        <f>IF(AS47="",0,INDEX(データベース!T$2:T$4,MATCH(AS47,データベース!S$2:S$4,0)))</f>
        <v>0</v>
      </c>
      <c r="AV47">
        <f>IF(AU47="",0,INDEX(データベース!V$2:V$37,MATCH(AU47,データベース!U$2:U$37,0)))</f>
        <v>0</v>
      </c>
      <c r="AX47">
        <v>0</v>
      </c>
      <c r="AZ47">
        <v>0</v>
      </c>
      <c r="BB47">
        <v>0</v>
      </c>
    </row>
    <row r="48" spans="2:54">
      <c r="B48">
        <v>0</v>
      </c>
      <c r="G48">
        <f>IF(F48="",0,INDEX(データベース!D$2:D$4,MATCH(F48,データベース!C$2:C$4,0)))</f>
        <v>0</v>
      </c>
      <c r="J48" s="19" t="str">
        <f t="shared" si="0"/>
        <v>服装・</v>
      </c>
      <c r="L48" s="19" t="str">
        <f t="shared" si="1"/>
        <v>感情・</v>
      </c>
      <c r="N48" s="19" cm="1">
        <f t="array" aca="1" ref="N48" ca="1">IF(H48="",0,INDEX(データベース!$F$2:$F$5,MATCH(H48,データベース!$E$2:$E$5,0)))*1000
+IF(I48="",0,INDEX(データベース!$D$41:$D$44,MATCH(I48,OFFSET(データベース!$A$41,0,IF(H48="",0,INDEX(データベース!$F$2:$F$5,MATCH(H48,データベース!$E$2:$E$5,0)))-1,4,1),0),))*100
+IF(K48="",0,INDEX(データベース!$D$48:$D$52,MATCH(K48,OFFSET(データベース!$A$48,0,IF(H48="",0,INDEX(データベース!$F$2:$F$5,MATCH(H48,データベース!$E$2:$E$5,0)))-1,5,1),0),))*10
+IF(M48="",0,INDEX(データベース!$D$56:$D$62,MATCH(M48,OFFSET(データベース!$A$56,0,IF(H48="",0,INDEX(データベース!$F$2:$F$5,MATCH(H48,データベース!$E$2:$E$5,0)))-1,7,1),0),))</f>
        <v>0</v>
      </c>
      <c r="P48">
        <f>IF(O48="",0,INDEX(データベース!$H$2:$H$4,MATCH(O48,データベース!$G$2:$G$4,0)))</f>
        <v>0</v>
      </c>
      <c r="S48" s="18" t="str">
        <f t="shared" si="2"/>
        <v>服装・</v>
      </c>
      <c r="U48" s="18" t="str">
        <f t="shared" si="3"/>
        <v>感情・</v>
      </c>
      <c r="W48" s="18" cm="1">
        <f t="array" aca="1" ref="W48" ca="1">IF(Q48="",0,INDEX(データベース!$F$2:$F$5,MATCH(Q48,データベース!$E$2:$E$5,0)))*1000
+IF(R48="",0,INDEX(データベース!$D$41:$D$44,MATCH(R48,OFFSET(データベース!$A$41,0,IF(Q48="",0,INDEX(データベース!$F$2:$F$5,MATCH(Q48,データベース!$E$2:$E$5,0)))-1,4,1),0),))*100
+IF(T48="",0,INDEX(データベース!$D$48:$D$52,MATCH(T48,OFFSET(データベース!$A$48,0,IF(Q48="",0,INDEX(データベース!$F$2:$F$5,MATCH(Q48,データベース!$E$2:$E$5,0)))-1,5,1),0),))*10
+IF(V48="",0,INDEX(データベース!$D$56:$D$62,MATCH(V48,OFFSET(データベース!$A$56,0,IF(Q48="",0,INDEX(データベース!$F$2:$F$5,MATCH(Q48,データベース!$E$2:$E$5,0)))-1,7,1),0),))</f>
        <v>0</v>
      </c>
      <c r="Y48">
        <f>IF(X48="",0,INDEX(データベース!$H$2:$H$4,MATCH(X48,データベース!$G$2:$G$4,0)))</f>
        <v>0</v>
      </c>
      <c r="AB48" s="9" t="str">
        <f t="shared" si="4"/>
        <v>服装・</v>
      </c>
      <c r="AD48" s="9" t="str">
        <f t="shared" si="5"/>
        <v>感情・</v>
      </c>
      <c r="AF48" s="9" cm="1">
        <f t="array" aca="1" ref="AF48" ca="1">IF(Z48="",0,INDEX(データベース!$F$2:$F$5,MATCH(Z48,データベース!$E$2:$E$5,0)))*1000
+IF(AA48="",0,INDEX(データベース!$D$41:$D$44,MATCH(AA48,OFFSET(データベース!$A$41,0,IF(Z48="",0,INDEX(データベース!$F$2:$F$5,MATCH(Z48,データベース!$E$2:$E$5,0)))-1,4,1),0),))*100
+IF(AC48="",0,INDEX(データベース!$D$48:$D$52,MATCH(AC48,OFFSET(データベース!$A$48,0,IF(Z48="",0,INDEX(データベース!$F$2:$F$5,MATCH(Z48,データベース!$E$2:$E$5,0)))-1,5,1),0),))*10
+IF(AE48="",0,INDEX(データベース!$D$56:$D$62,MATCH(AE48,OFFSET(データベース!$A$56,0,IF(Z48="",0,INDEX(データベース!$F$2:$F$5,MATCH(Z48,データベース!$E$2:$E$5,0)))-1,7,1),0),))</f>
        <v>0</v>
      </c>
      <c r="AH48">
        <f>IF(AG48="",0,INDEX(データベース!$H$2:$H$4,MATCH(AG48,データベース!$G$2:$G$4,0)))</f>
        <v>0</v>
      </c>
      <c r="AJ48">
        <f>IF(AI48="",0,INDEX(データベース!J$2:J$2,MATCH(AI48,データベース!I$2:I$2,0)))</f>
        <v>0</v>
      </c>
      <c r="AL48">
        <f>IF(AK48="",0,INDEX(データベース!L$2:L$3,MATCH(AK48,データベース!K$2:K$3,0)))</f>
        <v>0</v>
      </c>
      <c r="AN48">
        <f>IF(AM48="",0,INDEX(データベース!N$2:N$5,MATCH(AM48,データベース!M$2:M$5,0)))</f>
        <v>0</v>
      </c>
      <c r="AO48" s="4"/>
      <c r="AP48">
        <f>IF(AO48="",0,INDEX(データベース!P$2:P$3,MATCH(AO48,データベース!O$2:O$3,0)))</f>
        <v>0</v>
      </c>
      <c r="AR48">
        <f>IF(AQ48="",0,INDEX(データベース!R$2:R$27,MATCH(AQ48,データベース!Q$2:Q$27,0)))</f>
        <v>0</v>
      </c>
      <c r="AT48">
        <f>IF(AS48="",0,INDEX(データベース!T$2:T$4,MATCH(AS48,データベース!S$2:S$4,0)))</f>
        <v>0</v>
      </c>
      <c r="AV48">
        <f>IF(AU48="",0,INDEX(データベース!V$2:V$37,MATCH(AU48,データベース!U$2:U$37,0)))</f>
        <v>0</v>
      </c>
      <c r="AX48">
        <v>0</v>
      </c>
      <c r="AZ48">
        <v>0</v>
      </c>
      <c r="BB48">
        <v>0</v>
      </c>
    </row>
    <row r="49" spans="2:54">
      <c r="B49">
        <v>0</v>
      </c>
      <c r="G49">
        <f>IF(F49="",0,INDEX(データベース!D$2:D$4,MATCH(F49,データベース!C$2:C$4,0)))</f>
        <v>0</v>
      </c>
      <c r="J49" s="19" t="str">
        <f t="shared" si="0"/>
        <v>服装・</v>
      </c>
      <c r="L49" s="19" t="str">
        <f t="shared" si="1"/>
        <v>感情・</v>
      </c>
      <c r="N49" s="19" cm="1">
        <f t="array" aca="1" ref="N49" ca="1">IF(H49="",0,INDEX(データベース!$F$2:$F$5,MATCH(H49,データベース!$E$2:$E$5,0)))*1000
+IF(I49="",0,INDEX(データベース!$D$41:$D$44,MATCH(I49,OFFSET(データベース!$A$41,0,IF(H49="",0,INDEX(データベース!$F$2:$F$5,MATCH(H49,データベース!$E$2:$E$5,0)))-1,4,1),0),))*100
+IF(K49="",0,INDEX(データベース!$D$48:$D$52,MATCH(K49,OFFSET(データベース!$A$48,0,IF(H49="",0,INDEX(データベース!$F$2:$F$5,MATCH(H49,データベース!$E$2:$E$5,0)))-1,5,1),0),))*10
+IF(M49="",0,INDEX(データベース!$D$56:$D$62,MATCH(M49,OFFSET(データベース!$A$56,0,IF(H49="",0,INDEX(データベース!$F$2:$F$5,MATCH(H49,データベース!$E$2:$E$5,0)))-1,7,1),0),))</f>
        <v>0</v>
      </c>
      <c r="P49">
        <f>IF(O49="",0,INDEX(データベース!$H$2:$H$4,MATCH(O49,データベース!$G$2:$G$4,0)))</f>
        <v>0</v>
      </c>
      <c r="S49" s="18" t="str">
        <f t="shared" si="2"/>
        <v>服装・</v>
      </c>
      <c r="U49" s="18" t="str">
        <f t="shared" si="3"/>
        <v>感情・</v>
      </c>
      <c r="W49" s="18" cm="1">
        <f t="array" aca="1" ref="W49" ca="1">IF(Q49="",0,INDEX(データベース!$F$2:$F$5,MATCH(Q49,データベース!$E$2:$E$5,0)))*1000
+IF(R49="",0,INDEX(データベース!$D$41:$D$44,MATCH(R49,OFFSET(データベース!$A$41,0,IF(Q49="",0,INDEX(データベース!$F$2:$F$5,MATCH(Q49,データベース!$E$2:$E$5,0)))-1,4,1),0),))*100
+IF(T49="",0,INDEX(データベース!$D$48:$D$52,MATCH(T49,OFFSET(データベース!$A$48,0,IF(Q49="",0,INDEX(データベース!$F$2:$F$5,MATCH(Q49,データベース!$E$2:$E$5,0)))-1,5,1),0),))*10
+IF(V49="",0,INDEX(データベース!$D$56:$D$62,MATCH(V49,OFFSET(データベース!$A$56,0,IF(Q49="",0,INDEX(データベース!$F$2:$F$5,MATCH(Q49,データベース!$E$2:$E$5,0)))-1,7,1),0),))</f>
        <v>0</v>
      </c>
      <c r="Y49">
        <f>IF(X49="",0,INDEX(データベース!$H$2:$H$4,MATCH(X49,データベース!$G$2:$G$4,0)))</f>
        <v>0</v>
      </c>
      <c r="AB49" s="9" t="str">
        <f t="shared" si="4"/>
        <v>服装・</v>
      </c>
      <c r="AD49" s="9" t="str">
        <f t="shared" si="5"/>
        <v>感情・</v>
      </c>
      <c r="AF49" s="9" cm="1">
        <f t="array" aca="1" ref="AF49" ca="1">IF(Z49="",0,INDEX(データベース!$F$2:$F$5,MATCH(Z49,データベース!$E$2:$E$5,0)))*1000
+IF(AA49="",0,INDEX(データベース!$D$41:$D$44,MATCH(AA49,OFFSET(データベース!$A$41,0,IF(Z49="",0,INDEX(データベース!$F$2:$F$5,MATCH(Z49,データベース!$E$2:$E$5,0)))-1,4,1),0),))*100
+IF(AC49="",0,INDEX(データベース!$D$48:$D$52,MATCH(AC49,OFFSET(データベース!$A$48,0,IF(Z49="",0,INDEX(データベース!$F$2:$F$5,MATCH(Z49,データベース!$E$2:$E$5,0)))-1,5,1),0),))*10
+IF(AE49="",0,INDEX(データベース!$D$56:$D$62,MATCH(AE49,OFFSET(データベース!$A$56,0,IF(Z49="",0,INDEX(データベース!$F$2:$F$5,MATCH(Z49,データベース!$E$2:$E$5,0)))-1,7,1),0),))</f>
        <v>0</v>
      </c>
      <c r="AH49">
        <f>IF(AG49="",0,INDEX(データベース!$H$2:$H$4,MATCH(AG49,データベース!$G$2:$G$4,0)))</f>
        <v>0</v>
      </c>
      <c r="AJ49">
        <f>IF(AI49="",0,INDEX(データベース!J$2:J$2,MATCH(AI49,データベース!I$2:I$2,0)))</f>
        <v>0</v>
      </c>
      <c r="AL49">
        <f>IF(AK49="",0,INDEX(データベース!L$2:L$3,MATCH(AK49,データベース!K$2:K$3,0)))</f>
        <v>0</v>
      </c>
      <c r="AN49">
        <f>IF(AM49="",0,INDEX(データベース!N$2:N$5,MATCH(AM49,データベース!M$2:M$5,0)))</f>
        <v>0</v>
      </c>
      <c r="AO49" s="4"/>
      <c r="AP49">
        <f>IF(AO49="",0,INDEX(データベース!P$2:P$3,MATCH(AO49,データベース!O$2:O$3,0)))</f>
        <v>0</v>
      </c>
      <c r="AR49">
        <f>IF(AQ49="",0,INDEX(データベース!R$2:R$27,MATCH(AQ49,データベース!Q$2:Q$27,0)))</f>
        <v>0</v>
      </c>
      <c r="AT49">
        <f>IF(AS49="",0,INDEX(データベース!T$2:T$4,MATCH(AS49,データベース!S$2:S$4,0)))</f>
        <v>0</v>
      </c>
      <c r="AV49">
        <f>IF(AU49="",0,INDEX(データベース!V$2:V$37,MATCH(AU49,データベース!U$2:U$37,0)))</f>
        <v>0</v>
      </c>
      <c r="AX49">
        <v>0</v>
      </c>
      <c r="AZ49">
        <v>0</v>
      </c>
      <c r="BB49">
        <v>0</v>
      </c>
    </row>
    <row r="50" spans="2:54">
      <c r="B50">
        <v>0</v>
      </c>
      <c r="G50">
        <f>IF(F50="",0,INDEX(データベース!D$2:D$4,MATCH(F50,データベース!C$2:C$4,0)))</f>
        <v>0</v>
      </c>
      <c r="J50" s="19" t="str">
        <f t="shared" si="0"/>
        <v>服装・</v>
      </c>
      <c r="L50" s="19" t="str">
        <f t="shared" si="1"/>
        <v>感情・</v>
      </c>
      <c r="N50" s="19" cm="1">
        <f t="array" aca="1" ref="N50" ca="1">IF(H50="",0,INDEX(データベース!$F$2:$F$5,MATCH(H50,データベース!$E$2:$E$5,0)))*1000
+IF(I50="",0,INDEX(データベース!$D$41:$D$44,MATCH(I50,OFFSET(データベース!$A$41,0,IF(H50="",0,INDEX(データベース!$F$2:$F$5,MATCH(H50,データベース!$E$2:$E$5,0)))-1,4,1),0),))*100
+IF(K50="",0,INDEX(データベース!$D$48:$D$52,MATCH(K50,OFFSET(データベース!$A$48,0,IF(H50="",0,INDEX(データベース!$F$2:$F$5,MATCH(H50,データベース!$E$2:$E$5,0)))-1,5,1),0),))*10
+IF(M50="",0,INDEX(データベース!$D$56:$D$62,MATCH(M50,OFFSET(データベース!$A$56,0,IF(H50="",0,INDEX(データベース!$F$2:$F$5,MATCH(H50,データベース!$E$2:$E$5,0)))-1,7,1),0),))</f>
        <v>0</v>
      </c>
      <c r="P50">
        <f>IF(O50="",0,INDEX(データベース!$H$2:$H$4,MATCH(O50,データベース!$G$2:$G$4,0)))</f>
        <v>0</v>
      </c>
      <c r="S50" s="18" t="str">
        <f t="shared" si="2"/>
        <v>服装・</v>
      </c>
      <c r="U50" s="18" t="str">
        <f t="shared" si="3"/>
        <v>感情・</v>
      </c>
      <c r="W50" s="18" cm="1">
        <f t="array" aca="1" ref="W50" ca="1">IF(Q50="",0,INDEX(データベース!$F$2:$F$5,MATCH(Q50,データベース!$E$2:$E$5,0)))*1000
+IF(R50="",0,INDEX(データベース!$D$41:$D$44,MATCH(R50,OFFSET(データベース!$A$41,0,IF(Q50="",0,INDEX(データベース!$F$2:$F$5,MATCH(Q50,データベース!$E$2:$E$5,0)))-1,4,1),0),))*100
+IF(T50="",0,INDEX(データベース!$D$48:$D$52,MATCH(T50,OFFSET(データベース!$A$48,0,IF(Q50="",0,INDEX(データベース!$F$2:$F$5,MATCH(Q50,データベース!$E$2:$E$5,0)))-1,5,1),0),))*10
+IF(V50="",0,INDEX(データベース!$D$56:$D$62,MATCH(V50,OFFSET(データベース!$A$56,0,IF(Q50="",0,INDEX(データベース!$F$2:$F$5,MATCH(Q50,データベース!$E$2:$E$5,0)))-1,7,1),0),))</f>
        <v>0</v>
      </c>
      <c r="Y50">
        <f>IF(X50="",0,INDEX(データベース!$H$2:$H$4,MATCH(X50,データベース!$G$2:$G$4,0)))</f>
        <v>0</v>
      </c>
      <c r="AB50" s="9" t="str">
        <f t="shared" si="4"/>
        <v>服装・</v>
      </c>
      <c r="AD50" s="9" t="str">
        <f t="shared" si="5"/>
        <v>感情・</v>
      </c>
      <c r="AF50" s="9" cm="1">
        <f t="array" aca="1" ref="AF50" ca="1">IF(Z50="",0,INDEX(データベース!$F$2:$F$5,MATCH(Z50,データベース!$E$2:$E$5,0)))*1000
+IF(AA50="",0,INDEX(データベース!$D$41:$D$44,MATCH(AA50,OFFSET(データベース!$A$41,0,IF(Z50="",0,INDEX(データベース!$F$2:$F$5,MATCH(Z50,データベース!$E$2:$E$5,0)))-1,4,1),0),))*100
+IF(AC50="",0,INDEX(データベース!$D$48:$D$52,MATCH(AC50,OFFSET(データベース!$A$48,0,IF(Z50="",0,INDEX(データベース!$F$2:$F$5,MATCH(Z50,データベース!$E$2:$E$5,0)))-1,5,1),0),))*10
+IF(AE50="",0,INDEX(データベース!$D$56:$D$62,MATCH(AE50,OFFSET(データベース!$A$56,0,IF(Z50="",0,INDEX(データベース!$F$2:$F$5,MATCH(Z50,データベース!$E$2:$E$5,0)))-1,7,1),0),))</f>
        <v>0</v>
      </c>
      <c r="AH50">
        <f>IF(AG50="",0,INDEX(データベース!$H$2:$H$4,MATCH(AG50,データベース!$G$2:$G$4,0)))</f>
        <v>0</v>
      </c>
      <c r="AJ50">
        <f>IF(AI50="",0,INDEX(データベース!J$2:J$2,MATCH(AI50,データベース!I$2:I$2,0)))</f>
        <v>0</v>
      </c>
      <c r="AL50">
        <f>IF(AK50="",0,INDEX(データベース!L$2:L$3,MATCH(AK50,データベース!K$2:K$3,0)))</f>
        <v>0</v>
      </c>
      <c r="AN50">
        <f>IF(AM50="",0,INDEX(データベース!N$2:N$5,MATCH(AM50,データベース!M$2:M$5,0)))</f>
        <v>0</v>
      </c>
      <c r="AO50" s="4"/>
      <c r="AP50">
        <f>IF(AO50="",0,INDEX(データベース!P$2:P$3,MATCH(AO50,データベース!O$2:O$3,0)))</f>
        <v>0</v>
      </c>
      <c r="AR50">
        <f>IF(AQ50="",0,INDEX(データベース!R$2:R$27,MATCH(AQ50,データベース!Q$2:Q$27,0)))</f>
        <v>0</v>
      </c>
      <c r="AT50">
        <f>IF(AS50="",0,INDEX(データベース!T$2:T$4,MATCH(AS50,データベース!S$2:S$4,0)))</f>
        <v>0</v>
      </c>
      <c r="AV50">
        <f>IF(AU50="",0,INDEX(データベース!V$2:V$37,MATCH(AU50,データベース!U$2:U$37,0)))</f>
        <v>0</v>
      </c>
      <c r="AX50">
        <v>0</v>
      </c>
      <c r="AZ50">
        <v>0</v>
      </c>
      <c r="BB50">
        <v>0</v>
      </c>
    </row>
    <row r="51" spans="2:54">
      <c r="B51">
        <v>0</v>
      </c>
      <c r="G51">
        <f>IF(F51="",0,INDEX(データベース!D$2:D$4,MATCH(F51,データベース!C$2:C$4,0)))</f>
        <v>0</v>
      </c>
      <c r="J51" s="19" t="str">
        <f t="shared" si="0"/>
        <v>服装・</v>
      </c>
      <c r="L51" s="19" t="str">
        <f t="shared" si="1"/>
        <v>感情・</v>
      </c>
      <c r="N51" s="19" cm="1">
        <f t="array" aca="1" ref="N51" ca="1">IF(H51="",0,INDEX(データベース!$F$2:$F$5,MATCH(H51,データベース!$E$2:$E$5,0)))*1000
+IF(I51="",0,INDEX(データベース!$D$41:$D$44,MATCH(I51,OFFSET(データベース!$A$41,0,IF(H51="",0,INDEX(データベース!$F$2:$F$5,MATCH(H51,データベース!$E$2:$E$5,0)))-1,4,1),0),))*100
+IF(K51="",0,INDEX(データベース!$D$48:$D$52,MATCH(K51,OFFSET(データベース!$A$48,0,IF(H51="",0,INDEX(データベース!$F$2:$F$5,MATCH(H51,データベース!$E$2:$E$5,0)))-1,5,1),0),))*10
+IF(M51="",0,INDEX(データベース!$D$56:$D$62,MATCH(M51,OFFSET(データベース!$A$56,0,IF(H51="",0,INDEX(データベース!$F$2:$F$5,MATCH(H51,データベース!$E$2:$E$5,0)))-1,7,1),0),))</f>
        <v>0</v>
      </c>
      <c r="P51">
        <f>IF(O51="",0,INDEX(データベース!$H$2:$H$4,MATCH(O51,データベース!$G$2:$G$4,0)))</f>
        <v>0</v>
      </c>
      <c r="S51" s="18" t="str">
        <f t="shared" si="2"/>
        <v>服装・</v>
      </c>
      <c r="U51" s="18" t="str">
        <f t="shared" si="3"/>
        <v>感情・</v>
      </c>
      <c r="W51" s="18" cm="1">
        <f t="array" aca="1" ref="W51" ca="1">IF(Q51="",0,INDEX(データベース!$F$2:$F$5,MATCH(Q51,データベース!$E$2:$E$5,0)))*1000
+IF(R51="",0,INDEX(データベース!$D$41:$D$44,MATCH(R51,OFFSET(データベース!$A$41,0,IF(Q51="",0,INDEX(データベース!$F$2:$F$5,MATCH(Q51,データベース!$E$2:$E$5,0)))-1,4,1),0),))*100
+IF(T51="",0,INDEX(データベース!$D$48:$D$52,MATCH(T51,OFFSET(データベース!$A$48,0,IF(Q51="",0,INDEX(データベース!$F$2:$F$5,MATCH(Q51,データベース!$E$2:$E$5,0)))-1,5,1),0),))*10
+IF(V51="",0,INDEX(データベース!$D$56:$D$62,MATCH(V51,OFFSET(データベース!$A$56,0,IF(Q51="",0,INDEX(データベース!$F$2:$F$5,MATCH(Q51,データベース!$E$2:$E$5,0)))-1,7,1),0),))</f>
        <v>0</v>
      </c>
      <c r="Y51">
        <f>IF(X51="",0,INDEX(データベース!$H$2:$H$4,MATCH(X51,データベース!$G$2:$G$4,0)))</f>
        <v>0</v>
      </c>
      <c r="AB51" s="9" t="str">
        <f t="shared" si="4"/>
        <v>服装・</v>
      </c>
      <c r="AD51" s="9" t="str">
        <f t="shared" si="5"/>
        <v>感情・</v>
      </c>
      <c r="AF51" s="9" cm="1">
        <f t="array" aca="1" ref="AF51" ca="1">IF(Z51="",0,INDEX(データベース!$F$2:$F$5,MATCH(Z51,データベース!$E$2:$E$5,0)))*1000
+IF(AA51="",0,INDEX(データベース!$D$41:$D$44,MATCH(AA51,OFFSET(データベース!$A$41,0,IF(Z51="",0,INDEX(データベース!$F$2:$F$5,MATCH(Z51,データベース!$E$2:$E$5,0)))-1,4,1),0),))*100
+IF(AC51="",0,INDEX(データベース!$D$48:$D$52,MATCH(AC51,OFFSET(データベース!$A$48,0,IF(Z51="",0,INDEX(データベース!$F$2:$F$5,MATCH(Z51,データベース!$E$2:$E$5,0)))-1,5,1),0),))*10
+IF(AE51="",0,INDEX(データベース!$D$56:$D$62,MATCH(AE51,OFFSET(データベース!$A$56,0,IF(Z51="",0,INDEX(データベース!$F$2:$F$5,MATCH(Z51,データベース!$E$2:$E$5,0)))-1,7,1),0),))</f>
        <v>0</v>
      </c>
      <c r="AH51">
        <f>IF(AG51="",0,INDEX(データベース!$H$2:$H$4,MATCH(AG51,データベース!$G$2:$G$4,0)))</f>
        <v>0</v>
      </c>
      <c r="AJ51">
        <f>IF(AI51="",0,INDEX(データベース!J$2:J$2,MATCH(AI51,データベース!I$2:I$2,0)))</f>
        <v>0</v>
      </c>
      <c r="AL51">
        <f>IF(AK51="",0,INDEX(データベース!L$2:L$3,MATCH(AK51,データベース!K$2:K$3,0)))</f>
        <v>0</v>
      </c>
      <c r="AN51">
        <f>IF(AM51="",0,INDEX(データベース!N$2:N$5,MATCH(AM51,データベース!M$2:M$5,0)))</f>
        <v>0</v>
      </c>
      <c r="AO51" s="4"/>
      <c r="AP51">
        <f>IF(AO51="",0,INDEX(データベース!P$2:P$3,MATCH(AO51,データベース!O$2:O$3,0)))</f>
        <v>0</v>
      </c>
      <c r="AR51">
        <f>IF(AQ51="",0,INDEX(データベース!R$2:R$27,MATCH(AQ51,データベース!Q$2:Q$27,0)))</f>
        <v>0</v>
      </c>
      <c r="AT51">
        <f>IF(AS51="",0,INDEX(データベース!T$2:T$4,MATCH(AS51,データベース!S$2:S$4,0)))</f>
        <v>0</v>
      </c>
      <c r="AV51">
        <f>IF(AU51="",0,INDEX(データベース!V$2:V$37,MATCH(AU51,データベース!U$2:U$37,0)))</f>
        <v>0</v>
      </c>
      <c r="AX51">
        <v>0</v>
      </c>
      <c r="AZ51">
        <v>0</v>
      </c>
      <c r="BB51">
        <v>0</v>
      </c>
    </row>
    <row r="52" spans="2:54">
      <c r="B52">
        <v>0</v>
      </c>
      <c r="G52">
        <f>IF(F52="",0,INDEX(データベース!D$2:D$4,MATCH(F52,データベース!C$2:C$4,0)))</f>
        <v>0</v>
      </c>
      <c r="J52" s="19" t="str">
        <f t="shared" si="0"/>
        <v>服装・</v>
      </c>
      <c r="L52" s="19" t="str">
        <f t="shared" si="1"/>
        <v>感情・</v>
      </c>
      <c r="N52" s="19" cm="1">
        <f t="array" aca="1" ref="N52" ca="1">IF(H52="",0,INDEX(データベース!$F$2:$F$5,MATCH(H52,データベース!$E$2:$E$5,0)))*1000
+IF(I52="",0,INDEX(データベース!$D$41:$D$44,MATCH(I52,OFFSET(データベース!$A$41,0,IF(H52="",0,INDEX(データベース!$F$2:$F$5,MATCH(H52,データベース!$E$2:$E$5,0)))-1,4,1),0),))*100
+IF(K52="",0,INDEX(データベース!$D$48:$D$52,MATCH(K52,OFFSET(データベース!$A$48,0,IF(H52="",0,INDEX(データベース!$F$2:$F$5,MATCH(H52,データベース!$E$2:$E$5,0)))-1,5,1),0),))*10
+IF(M52="",0,INDEX(データベース!$D$56:$D$62,MATCH(M52,OFFSET(データベース!$A$56,0,IF(H52="",0,INDEX(データベース!$F$2:$F$5,MATCH(H52,データベース!$E$2:$E$5,0)))-1,7,1),0),))</f>
        <v>0</v>
      </c>
      <c r="P52">
        <f>IF(O52="",0,INDEX(データベース!$H$2:$H$4,MATCH(O52,データベース!$G$2:$G$4,0)))</f>
        <v>0</v>
      </c>
      <c r="S52" s="18" t="str">
        <f t="shared" si="2"/>
        <v>服装・</v>
      </c>
      <c r="U52" s="18" t="str">
        <f t="shared" si="3"/>
        <v>感情・</v>
      </c>
      <c r="W52" s="18" cm="1">
        <f t="array" aca="1" ref="W52" ca="1">IF(Q52="",0,INDEX(データベース!$F$2:$F$5,MATCH(Q52,データベース!$E$2:$E$5,0)))*1000
+IF(R52="",0,INDEX(データベース!$D$41:$D$44,MATCH(R52,OFFSET(データベース!$A$41,0,IF(Q52="",0,INDEX(データベース!$F$2:$F$5,MATCH(Q52,データベース!$E$2:$E$5,0)))-1,4,1),0),))*100
+IF(T52="",0,INDEX(データベース!$D$48:$D$52,MATCH(T52,OFFSET(データベース!$A$48,0,IF(Q52="",0,INDEX(データベース!$F$2:$F$5,MATCH(Q52,データベース!$E$2:$E$5,0)))-1,5,1),0),))*10
+IF(V52="",0,INDEX(データベース!$D$56:$D$62,MATCH(V52,OFFSET(データベース!$A$56,0,IF(Q52="",0,INDEX(データベース!$F$2:$F$5,MATCH(Q52,データベース!$E$2:$E$5,0)))-1,7,1),0),))</f>
        <v>0</v>
      </c>
      <c r="Y52">
        <f>IF(X52="",0,INDEX(データベース!$H$2:$H$4,MATCH(X52,データベース!$G$2:$G$4,0)))</f>
        <v>0</v>
      </c>
      <c r="AB52" s="9" t="str">
        <f t="shared" si="4"/>
        <v>服装・</v>
      </c>
      <c r="AD52" s="9" t="str">
        <f t="shared" si="5"/>
        <v>感情・</v>
      </c>
      <c r="AF52" s="9" cm="1">
        <f t="array" aca="1" ref="AF52" ca="1">IF(Z52="",0,INDEX(データベース!$F$2:$F$5,MATCH(Z52,データベース!$E$2:$E$5,0)))*1000
+IF(AA52="",0,INDEX(データベース!$D$41:$D$44,MATCH(AA52,OFFSET(データベース!$A$41,0,IF(Z52="",0,INDEX(データベース!$F$2:$F$5,MATCH(Z52,データベース!$E$2:$E$5,0)))-1,4,1),0),))*100
+IF(AC52="",0,INDEX(データベース!$D$48:$D$52,MATCH(AC52,OFFSET(データベース!$A$48,0,IF(Z52="",0,INDEX(データベース!$F$2:$F$5,MATCH(Z52,データベース!$E$2:$E$5,0)))-1,5,1),0),))*10
+IF(AE52="",0,INDEX(データベース!$D$56:$D$62,MATCH(AE52,OFFSET(データベース!$A$56,0,IF(Z52="",0,INDEX(データベース!$F$2:$F$5,MATCH(Z52,データベース!$E$2:$E$5,0)))-1,7,1),0),))</f>
        <v>0</v>
      </c>
      <c r="AH52">
        <f>IF(AG52="",0,INDEX(データベース!$H$2:$H$4,MATCH(AG52,データベース!$G$2:$G$4,0)))</f>
        <v>0</v>
      </c>
      <c r="AJ52">
        <f>IF(AI52="",0,INDEX(データベース!J$2:J$2,MATCH(AI52,データベース!I$2:I$2,0)))</f>
        <v>0</v>
      </c>
      <c r="AL52">
        <f>IF(AK52="",0,INDEX(データベース!L$2:L$3,MATCH(AK52,データベース!K$2:K$3,0)))</f>
        <v>0</v>
      </c>
      <c r="AN52">
        <f>IF(AM52="",0,INDEX(データベース!N$2:N$5,MATCH(AM52,データベース!M$2:M$5,0)))</f>
        <v>0</v>
      </c>
      <c r="AO52" s="4"/>
      <c r="AP52">
        <f>IF(AO52="",0,INDEX(データベース!P$2:P$3,MATCH(AO52,データベース!O$2:O$3,0)))</f>
        <v>0</v>
      </c>
      <c r="AR52">
        <f>IF(AQ52="",0,INDEX(データベース!R$2:R$27,MATCH(AQ52,データベース!Q$2:Q$27,0)))</f>
        <v>0</v>
      </c>
      <c r="AT52">
        <f>IF(AS52="",0,INDEX(データベース!T$2:T$4,MATCH(AS52,データベース!S$2:S$4,0)))</f>
        <v>0</v>
      </c>
      <c r="AV52">
        <f>IF(AU52="",0,INDEX(データベース!V$2:V$37,MATCH(AU52,データベース!U$2:U$37,0)))</f>
        <v>0</v>
      </c>
      <c r="AX52">
        <v>0</v>
      </c>
      <c r="AZ52">
        <v>0</v>
      </c>
      <c r="BB52">
        <v>0</v>
      </c>
    </row>
    <row r="53" spans="2:54">
      <c r="B53">
        <v>0</v>
      </c>
      <c r="G53">
        <f>IF(F53="",0,INDEX(データベース!D$2:D$4,MATCH(F53,データベース!C$2:C$4,0)))</f>
        <v>0</v>
      </c>
      <c r="J53" s="19" t="str">
        <f t="shared" si="0"/>
        <v>服装・</v>
      </c>
      <c r="L53" s="19" t="str">
        <f t="shared" si="1"/>
        <v>感情・</v>
      </c>
      <c r="N53" s="19" cm="1">
        <f t="array" aca="1" ref="N53" ca="1">IF(H53="",0,INDEX(データベース!$F$2:$F$5,MATCH(H53,データベース!$E$2:$E$5,0)))*1000
+IF(I53="",0,INDEX(データベース!$D$41:$D$44,MATCH(I53,OFFSET(データベース!$A$41,0,IF(H53="",0,INDEX(データベース!$F$2:$F$5,MATCH(H53,データベース!$E$2:$E$5,0)))-1,4,1),0),))*100
+IF(K53="",0,INDEX(データベース!$D$48:$D$52,MATCH(K53,OFFSET(データベース!$A$48,0,IF(H53="",0,INDEX(データベース!$F$2:$F$5,MATCH(H53,データベース!$E$2:$E$5,0)))-1,5,1),0),))*10
+IF(M53="",0,INDEX(データベース!$D$56:$D$62,MATCH(M53,OFFSET(データベース!$A$56,0,IF(H53="",0,INDEX(データベース!$F$2:$F$5,MATCH(H53,データベース!$E$2:$E$5,0)))-1,7,1),0),))</f>
        <v>0</v>
      </c>
      <c r="P53">
        <f>IF(O53="",0,INDEX(データベース!$H$2:$H$4,MATCH(O53,データベース!$G$2:$G$4,0)))</f>
        <v>0</v>
      </c>
      <c r="S53" s="18" t="str">
        <f t="shared" si="2"/>
        <v>服装・</v>
      </c>
      <c r="U53" s="18" t="str">
        <f t="shared" si="3"/>
        <v>感情・</v>
      </c>
      <c r="W53" s="18" cm="1">
        <f t="array" aca="1" ref="W53" ca="1">IF(Q53="",0,INDEX(データベース!$F$2:$F$5,MATCH(Q53,データベース!$E$2:$E$5,0)))*1000
+IF(R53="",0,INDEX(データベース!$D$41:$D$44,MATCH(R53,OFFSET(データベース!$A$41,0,IF(Q53="",0,INDEX(データベース!$F$2:$F$5,MATCH(Q53,データベース!$E$2:$E$5,0)))-1,4,1),0),))*100
+IF(T53="",0,INDEX(データベース!$D$48:$D$52,MATCH(T53,OFFSET(データベース!$A$48,0,IF(Q53="",0,INDEX(データベース!$F$2:$F$5,MATCH(Q53,データベース!$E$2:$E$5,0)))-1,5,1),0),))*10
+IF(V53="",0,INDEX(データベース!$D$56:$D$62,MATCH(V53,OFFSET(データベース!$A$56,0,IF(Q53="",0,INDEX(データベース!$F$2:$F$5,MATCH(Q53,データベース!$E$2:$E$5,0)))-1,7,1),0),))</f>
        <v>0</v>
      </c>
      <c r="Y53">
        <f>IF(X53="",0,INDEX(データベース!$H$2:$H$4,MATCH(X53,データベース!$G$2:$G$4,0)))</f>
        <v>0</v>
      </c>
      <c r="AB53" s="9" t="str">
        <f t="shared" si="4"/>
        <v>服装・</v>
      </c>
      <c r="AD53" s="9" t="str">
        <f t="shared" si="5"/>
        <v>感情・</v>
      </c>
      <c r="AF53" s="9" cm="1">
        <f t="array" aca="1" ref="AF53" ca="1">IF(Z53="",0,INDEX(データベース!$F$2:$F$5,MATCH(Z53,データベース!$E$2:$E$5,0)))*1000
+IF(AA53="",0,INDEX(データベース!$D$41:$D$44,MATCH(AA53,OFFSET(データベース!$A$41,0,IF(Z53="",0,INDEX(データベース!$F$2:$F$5,MATCH(Z53,データベース!$E$2:$E$5,0)))-1,4,1),0),))*100
+IF(AC53="",0,INDEX(データベース!$D$48:$D$52,MATCH(AC53,OFFSET(データベース!$A$48,0,IF(Z53="",0,INDEX(データベース!$F$2:$F$5,MATCH(Z53,データベース!$E$2:$E$5,0)))-1,5,1),0),))*10
+IF(AE53="",0,INDEX(データベース!$D$56:$D$62,MATCH(AE53,OFFSET(データベース!$A$56,0,IF(Z53="",0,INDEX(データベース!$F$2:$F$5,MATCH(Z53,データベース!$E$2:$E$5,0)))-1,7,1),0),))</f>
        <v>0</v>
      </c>
      <c r="AH53">
        <f>IF(AG53="",0,INDEX(データベース!$H$2:$H$4,MATCH(AG53,データベース!$G$2:$G$4,0)))</f>
        <v>0</v>
      </c>
      <c r="AJ53">
        <f>IF(AI53="",0,INDEX(データベース!J$2:J$2,MATCH(AI53,データベース!I$2:I$2,0)))</f>
        <v>0</v>
      </c>
      <c r="AL53">
        <f>IF(AK53="",0,INDEX(データベース!L$2:L$3,MATCH(AK53,データベース!K$2:K$3,0)))</f>
        <v>0</v>
      </c>
      <c r="AN53">
        <f>IF(AM53="",0,INDEX(データベース!N$2:N$5,MATCH(AM53,データベース!M$2:M$5,0)))</f>
        <v>0</v>
      </c>
      <c r="AO53" s="4"/>
      <c r="AP53">
        <f>IF(AO53="",0,INDEX(データベース!P$2:P$3,MATCH(AO53,データベース!O$2:O$3,0)))</f>
        <v>0</v>
      </c>
      <c r="AR53">
        <f>IF(AQ53="",0,INDEX(データベース!R$2:R$27,MATCH(AQ53,データベース!Q$2:Q$27,0)))</f>
        <v>0</v>
      </c>
      <c r="AT53">
        <f>IF(AS53="",0,INDEX(データベース!T$2:T$4,MATCH(AS53,データベース!S$2:S$4,0)))</f>
        <v>0</v>
      </c>
      <c r="AV53">
        <f>IF(AU53="",0,INDEX(データベース!V$2:V$37,MATCH(AU53,データベース!U$2:U$37,0)))</f>
        <v>0</v>
      </c>
      <c r="AX53">
        <v>0</v>
      </c>
      <c r="AZ53">
        <v>0</v>
      </c>
      <c r="BB53">
        <v>0</v>
      </c>
    </row>
    <row r="54" spans="2:54">
      <c r="B54">
        <v>0</v>
      </c>
      <c r="G54">
        <f>IF(F54="",0,INDEX(データベース!D$2:D$4,MATCH(F54,データベース!C$2:C$4,0)))</f>
        <v>0</v>
      </c>
      <c r="J54" s="19" t="str">
        <f t="shared" si="0"/>
        <v>服装・</v>
      </c>
      <c r="L54" s="19" t="str">
        <f t="shared" si="1"/>
        <v>感情・</v>
      </c>
      <c r="N54" s="19" cm="1">
        <f t="array" aca="1" ref="N54" ca="1">IF(H54="",0,INDEX(データベース!$F$2:$F$5,MATCH(H54,データベース!$E$2:$E$5,0)))*1000
+IF(I54="",0,INDEX(データベース!$D$41:$D$44,MATCH(I54,OFFSET(データベース!$A$41,0,IF(H54="",0,INDEX(データベース!$F$2:$F$5,MATCH(H54,データベース!$E$2:$E$5,0)))-1,4,1),0),))*100
+IF(K54="",0,INDEX(データベース!$D$48:$D$52,MATCH(K54,OFFSET(データベース!$A$48,0,IF(H54="",0,INDEX(データベース!$F$2:$F$5,MATCH(H54,データベース!$E$2:$E$5,0)))-1,5,1),0),))*10
+IF(M54="",0,INDEX(データベース!$D$56:$D$62,MATCH(M54,OFFSET(データベース!$A$56,0,IF(H54="",0,INDEX(データベース!$F$2:$F$5,MATCH(H54,データベース!$E$2:$E$5,0)))-1,7,1),0),))</f>
        <v>0</v>
      </c>
      <c r="P54">
        <f>IF(O54="",0,INDEX(データベース!$H$2:$H$4,MATCH(O54,データベース!$G$2:$G$4,0)))</f>
        <v>0</v>
      </c>
      <c r="S54" s="18" t="str">
        <f t="shared" si="2"/>
        <v>服装・</v>
      </c>
      <c r="U54" s="18" t="str">
        <f t="shared" si="3"/>
        <v>感情・</v>
      </c>
      <c r="W54" s="18" cm="1">
        <f t="array" aca="1" ref="W54" ca="1">IF(Q54="",0,INDEX(データベース!$F$2:$F$5,MATCH(Q54,データベース!$E$2:$E$5,0)))*1000
+IF(R54="",0,INDEX(データベース!$D$41:$D$44,MATCH(R54,OFFSET(データベース!$A$41,0,IF(Q54="",0,INDEX(データベース!$F$2:$F$5,MATCH(Q54,データベース!$E$2:$E$5,0)))-1,4,1),0),))*100
+IF(T54="",0,INDEX(データベース!$D$48:$D$52,MATCH(T54,OFFSET(データベース!$A$48,0,IF(Q54="",0,INDEX(データベース!$F$2:$F$5,MATCH(Q54,データベース!$E$2:$E$5,0)))-1,5,1),0),))*10
+IF(V54="",0,INDEX(データベース!$D$56:$D$62,MATCH(V54,OFFSET(データベース!$A$56,0,IF(Q54="",0,INDEX(データベース!$F$2:$F$5,MATCH(Q54,データベース!$E$2:$E$5,0)))-1,7,1),0),))</f>
        <v>0</v>
      </c>
      <c r="Y54">
        <f>IF(X54="",0,INDEX(データベース!$H$2:$H$4,MATCH(X54,データベース!$G$2:$G$4,0)))</f>
        <v>0</v>
      </c>
      <c r="AB54" s="9" t="str">
        <f t="shared" si="4"/>
        <v>服装・</v>
      </c>
      <c r="AD54" s="9" t="str">
        <f t="shared" si="5"/>
        <v>感情・</v>
      </c>
      <c r="AF54" s="9" cm="1">
        <f t="array" aca="1" ref="AF54" ca="1">IF(Z54="",0,INDEX(データベース!$F$2:$F$5,MATCH(Z54,データベース!$E$2:$E$5,0)))*1000
+IF(AA54="",0,INDEX(データベース!$D$41:$D$44,MATCH(AA54,OFFSET(データベース!$A$41,0,IF(Z54="",0,INDEX(データベース!$F$2:$F$5,MATCH(Z54,データベース!$E$2:$E$5,0)))-1,4,1),0),))*100
+IF(AC54="",0,INDEX(データベース!$D$48:$D$52,MATCH(AC54,OFFSET(データベース!$A$48,0,IF(Z54="",0,INDEX(データベース!$F$2:$F$5,MATCH(Z54,データベース!$E$2:$E$5,0)))-1,5,1),0),))*10
+IF(AE54="",0,INDEX(データベース!$D$56:$D$62,MATCH(AE54,OFFSET(データベース!$A$56,0,IF(Z54="",0,INDEX(データベース!$F$2:$F$5,MATCH(Z54,データベース!$E$2:$E$5,0)))-1,7,1),0),))</f>
        <v>0</v>
      </c>
      <c r="AH54">
        <f>IF(AG54="",0,INDEX(データベース!$H$2:$H$4,MATCH(AG54,データベース!$G$2:$G$4,0)))</f>
        <v>0</v>
      </c>
      <c r="AJ54">
        <f>IF(AI54="",0,INDEX(データベース!J$2:J$2,MATCH(AI54,データベース!I$2:I$2,0)))</f>
        <v>0</v>
      </c>
      <c r="AL54">
        <f>IF(AK54="",0,INDEX(データベース!L$2:L$3,MATCH(AK54,データベース!K$2:K$3,0)))</f>
        <v>0</v>
      </c>
      <c r="AN54">
        <f>IF(AM54="",0,INDEX(データベース!N$2:N$5,MATCH(AM54,データベース!M$2:M$5,0)))</f>
        <v>0</v>
      </c>
      <c r="AO54" s="4"/>
      <c r="AP54">
        <f>IF(AO54="",0,INDEX(データベース!P$2:P$3,MATCH(AO54,データベース!O$2:O$3,0)))</f>
        <v>0</v>
      </c>
      <c r="AR54">
        <f>IF(AQ54="",0,INDEX(データベース!R$2:R$27,MATCH(AQ54,データベース!Q$2:Q$27,0)))</f>
        <v>0</v>
      </c>
      <c r="AT54">
        <f>IF(AS54="",0,INDEX(データベース!T$2:T$4,MATCH(AS54,データベース!S$2:S$4,0)))</f>
        <v>0</v>
      </c>
      <c r="AV54">
        <f>IF(AU54="",0,INDEX(データベース!V$2:V$37,MATCH(AU54,データベース!U$2:U$37,0)))</f>
        <v>0</v>
      </c>
      <c r="AX54">
        <v>0</v>
      </c>
      <c r="AZ54">
        <v>0</v>
      </c>
      <c r="BB54">
        <v>0</v>
      </c>
    </row>
    <row r="55" spans="2:54">
      <c r="B55">
        <v>0</v>
      </c>
      <c r="G55">
        <f>IF(F55="",0,INDEX(データベース!D$2:D$4,MATCH(F55,データベース!C$2:C$4,0)))</f>
        <v>0</v>
      </c>
      <c r="J55" s="19" t="str">
        <f t="shared" si="0"/>
        <v>服装・</v>
      </c>
      <c r="L55" s="19" t="str">
        <f t="shared" si="1"/>
        <v>感情・</v>
      </c>
      <c r="N55" s="19" cm="1">
        <f t="array" aca="1" ref="N55" ca="1">IF(H55="",0,INDEX(データベース!$F$2:$F$5,MATCH(H55,データベース!$E$2:$E$5,0)))*1000
+IF(I55="",0,INDEX(データベース!$D$41:$D$44,MATCH(I55,OFFSET(データベース!$A$41,0,IF(H55="",0,INDEX(データベース!$F$2:$F$5,MATCH(H55,データベース!$E$2:$E$5,0)))-1,4,1),0),))*100
+IF(K55="",0,INDEX(データベース!$D$48:$D$52,MATCH(K55,OFFSET(データベース!$A$48,0,IF(H55="",0,INDEX(データベース!$F$2:$F$5,MATCH(H55,データベース!$E$2:$E$5,0)))-1,5,1),0),))*10
+IF(M55="",0,INDEX(データベース!$D$56:$D$62,MATCH(M55,OFFSET(データベース!$A$56,0,IF(H55="",0,INDEX(データベース!$F$2:$F$5,MATCH(H55,データベース!$E$2:$E$5,0)))-1,7,1),0),))</f>
        <v>0</v>
      </c>
      <c r="P55">
        <f>IF(O55="",0,INDEX(データベース!$H$2:$H$4,MATCH(O55,データベース!$G$2:$G$4,0)))</f>
        <v>0</v>
      </c>
      <c r="S55" s="18" t="str">
        <f t="shared" si="2"/>
        <v>服装・</v>
      </c>
      <c r="U55" s="18" t="str">
        <f t="shared" si="3"/>
        <v>感情・</v>
      </c>
      <c r="W55" s="18" cm="1">
        <f t="array" aca="1" ref="W55" ca="1">IF(Q55="",0,INDEX(データベース!$F$2:$F$5,MATCH(Q55,データベース!$E$2:$E$5,0)))*1000
+IF(R55="",0,INDEX(データベース!$D$41:$D$44,MATCH(R55,OFFSET(データベース!$A$41,0,IF(Q55="",0,INDEX(データベース!$F$2:$F$5,MATCH(Q55,データベース!$E$2:$E$5,0)))-1,4,1),0),))*100
+IF(T55="",0,INDEX(データベース!$D$48:$D$52,MATCH(T55,OFFSET(データベース!$A$48,0,IF(Q55="",0,INDEX(データベース!$F$2:$F$5,MATCH(Q55,データベース!$E$2:$E$5,0)))-1,5,1),0),))*10
+IF(V55="",0,INDEX(データベース!$D$56:$D$62,MATCH(V55,OFFSET(データベース!$A$56,0,IF(Q55="",0,INDEX(データベース!$F$2:$F$5,MATCH(Q55,データベース!$E$2:$E$5,0)))-1,7,1),0),))</f>
        <v>0</v>
      </c>
      <c r="Y55">
        <f>IF(X55="",0,INDEX(データベース!$H$2:$H$4,MATCH(X55,データベース!$G$2:$G$4,0)))</f>
        <v>0</v>
      </c>
      <c r="AB55" s="9" t="str">
        <f t="shared" si="4"/>
        <v>服装・</v>
      </c>
      <c r="AD55" s="9" t="str">
        <f t="shared" si="5"/>
        <v>感情・</v>
      </c>
      <c r="AF55" s="9" cm="1">
        <f t="array" aca="1" ref="AF55" ca="1">IF(Z55="",0,INDEX(データベース!$F$2:$F$5,MATCH(Z55,データベース!$E$2:$E$5,0)))*1000
+IF(AA55="",0,INDEX(データベース!$D$41:$D$44,MATCH(AA55,OFFSET(データベース!$A$41,0,IF(Z55="",0,INDEX(データベース!$F$2:$F$5,MATCH(Z55,データベース!$E$2:$E$5,0)))-1,4,1),0),))*100
+IF(AC55="",0,INDEX(データベース!$D$48:$D$52,MATCH(AC55,OFFSET(データベース!$A$48,0,IF(Z55="",0,INDEX(データベース!$F$2:$F$5,MATCH(Z55,データベース!$E$2:$E$5,0)))-1,5,1),0),))*10
+IF(AE55="",0,INDEX(データベース!$D$56:$D$62,MATCH(AE55,OFFSET(データベース!$A$56,0,IF(Z55="",0,INDEX(データベース!$F$2:$F$5,MATCH(Z55,データベース!$E$2:$E$5,0)))-1,7,1),0),))</f>
        <v>0</v>
      </c>
      <c r="AH55">
        <f>IF(AG55="",0,INDEX(データベース!$H$2:$H$4,MATCH(AG55,データベース!$G$2:$G$4,0)))</f>
        <v>0</v>
      </c>
      <c r="AJ55">
        <f>IF(AI55="",0,INDEX(データベース!J$2:J$2,MATCH(AI55,データベース!I$2:I$2,0)))</f>
        <v>0</v>
      </c>
      <c r="AL55">
        <f>IF(AK55="",0,INDEX(データベース!L$2:L$3,MATCH(AK55,データベース!K$2:K$3,0)))</f>
        <v>0</v>
      </c>
      <c r="AN55">
        <f>IF(AM55="",0,INDEX(データベース!N$2:N$5,MATCH(AM55,データベース!M$2:M$5,0)))</f>
        <v>0</v>
      </c>
      <c r="AO55" s="4"/>
      <c r="AP55">
        <f>IF(AO55="",0,INDEX(データベース!P$2:P$3,MATCH(AO55,データベース!O$2:O$3,0)))</f>
        <v>0</v>
      </c>
      <c r="AR55">
        <f>IF(AQ55="",0,INDEX(データベース!R$2:R$27,MATCH(AQ55,データベース!Q$2:Q$27,0)))</f>
        <v>0</v>
      </c>
      <c r="AT55">
        <f>IF(AS55="",0,INDEX(データベース!T$2:T$4,MATCH(AS55,データベース!S$2:S$4,0)))</f>
        <v>0</v>
      </c>
      <c r="AV55">
        <f>IF(AU55="",0,INDEX(データベース!V$2:V$37,MATCH(AU55,データベース!U$2:U$37,0)))</f>
        <v>0</v>
      </c>
      <c r="AX55">
        <v>0</v>
      </c>
      <c r="AZ55">
        <v>0</v>
      </c>
      <c r="BB55">
        <v>0</v>
      </c>
    </row>
    <row r="56" spans="2:54">
      <c r="B56">
        <v>0</v>
      </c>
      <c r="G56">
        <f>IF(F56="",0,INDEX(データベース!D$2:D$4,MATCH(F56,データベース!C$2:C$4,0)))</f>
        <v>0</v>
      </c>
      <c r="J56" s="19" t="str">
        <f t="shared" si="0"/>
        <v>服装・</v>
      </c>
      <c r="L56" s="19" t="str">
        <f t="shared" si="1"/>
        <v>感情・</v>
      </c>
      <c r="N56" s="19" cm="1">
        <f t="array" aca="1" ref="N56" ca="1">IF(H56="",0,INDEX(データベース!$F$2:$F$5,MATCH(H56,データベース!$E$2:$E$5,0)))*1000
+IF(I56="",0,INDEX(データベース!$D$41:$D$44,MATCH(I56,OFFSET(データベース!$A$41,0,IF(H56="",0,INDEX(データベース!$F$2:$F$5,MATCH(H56,データベース!$E$2:$E$5,0)))-1,4,1),0),))*100
+IF(K56="",0,INDEX(データベース!$D$48:$D$52,MATCH(K56,OFFSET(データベース!$A$48,0,IF(H56="",0,INDEX(データベース!$F$2:$F$5,MATCH(H56,データベース!$E$2:$E$5,0)))-1,5,1),0),))*10
+IF(M56="",0,INDEX(データベース!$D$56:$D$62,MATCH(M56,OFFSET(データベース!$A$56,0,IF(H56="",0,INDEX(データベース!$F$2:$F$5,MATCH(H56,データベース!$E$2:$E$5,0)))-1,7,1),0),))</f>
        <v>0</v>
      </c>
      <c r="P56">
        <f>IF(O56="",0,INDEX(データベース!$H$2:$H$4,MATCH(O56,データベース!$G$2:$G$4,0)))</f>
        <v>0</v>
      </c>
      <c r="S56" s="18" t="str">
        <f t="shared" si="2"/>
        <v>服装・</v>
      </c>
      <c r="U56" s="18" t="str">
        <f t="shared" si="3"/>
        <v>感情・</v>
      </c>
      <c r="W56" s="18" cm="1">
        <f t="array" aca="1" ref="W56" ca="1">IF(Q56="",0,INDEX(データベース!$F$2:$F$5,MATCH(Q56,データベース!$E$2:$E$5,0)))*1000
+IF(R56="",0,INDEX(データベース!$D$41:$D$44,MATCH(R56,OFFSET(データベース!$A$41,0,IF(Q56="",0,INDEX(データベース!$F$2:$F$5,MATCH(Q56,データベース!$E$2:$E$5,0)))-1,4,1),0),))*100
+IF(T56="",0,INDEX(データベース!$D$48:$D$52,MATCH(T56,OFFSET(データベース!$A$48,0,IF(Q56="",0,INDEX(データベース!$F$2:$F$5,MATCH(Q56,データベース!$E$2:$E$5,0)))-1,5,1),0),))*10
+IF(V56="",0,INDEX(データベース!$D$56:$D$62,MATCH(V56,OFFSET(データベース!$A$56,0,IF(Q56="",0,INDEX(データベース!$F$2:$F$5,MATCH(Q56,データベース!$E$2:$E$5,0)))-1,7,1),0),))</f>
        <v>0</v>
      </c>
      <c r="Y56">
        <f>IF(X56="",0,INDEX(データベース!$H$2:$H$4,MATCH(X56,データベース!$G$2:$G$4,0)))</f>
        <v>0</v>
      </c>
      <c r="AB56" s="9" t="str">
        <f t="shared" si="4"/>
        <v>服装・</v>
      </c>
      <c r="AD56" s="9" t="str">
        <f t="shared" si="5"/>
        <v>感情・</v>
      </c>
      <c r="AF56" s="9" cm="1">
        <f t="array" aca="1" ref="AF56" ca="1">IF(Z56="",0,INDEX(データベース!$F$2:$F$5,MATCH(Z56,データベース!$E$2:$E$5,0)))*1000
+IF(AA56="",0,INDEX(データベース!$D$41:$D$44,MATCH(AA56,OFFSET(データベース!$A$41,0,IF(Z56="",0,INDEX(データベース!$F$2:$F$5,MATCH(Z56,データベース!$E$2:$E$5,0)))-1,4,1),0),))*100
+IF(AC56="",0,INDEX(データベース!$D$48:$D$52,MATCH(AC56,OFFSET(データベース!$A$48,0,IF(Z56="",0,INDEX(データベース!$F$2:$F$5,MATCH(Z56,データベース!$E$2:$E$5,0)))-1,5,1),0),))*10
+IF(AE56="",0,INDEX(データベース!$D$56:$D$62,MATCH(AE56,OFFSET(データベース!$A$56,0,IF(Z56="",0,INDEX(データベース!$F$2:$F$5,MATCH(Z56,データベース!$E$2:$E$5,0)))-1,7,1),0),))</f>
        <v>0</v>
      </c>
      <c r="AH56">
        <f>IF(AG56="",0,INDEX(データベース!$H$2:$H$4,MATCH(AG56,データベース!$G$2:$G$4,0)))</f>
        <v>0</v>
      </c>
      <c r="AJ56">
        <f>IF(AI56="",0,INDEX(データベース!J$2:J$2,MATCH(AI56,データベース!I$2:I$2,0)))</f>
        <v>0</v>
      </c>
      <c r="AL56">
        <f>IF(AK56="",0,INDEX(データベース!L$2:L$3,MATCH(AK56,データベース!K$2:K$3,0)))</f>
        <v>0</v>
      </c>
      <c r="AN56">
        <f>IF(AM56="",0,INDEX(データベース!N$2:N$5,MATCH(AM56,データベース!M$2:M$5,0)))</f>
        <v>0</v>
      </c>
      <c r="AO56" s="4"/>
      <c r="AP56">
        <f>IF(AO56="",0,INDEX(データベース!P$2:P$3,MATCH(AO56,データベース!O$2:O$3,0)))</f>
        <v>0</v>
      </c>
      <c r="AR56">
        <f>IF(AQ56="",0,INDEX(データベース!R$2:R$27,MATCH(AQ56,データベース!Q$2:Q$27,0)))</f>
        <v>0</v>
      </c>
      <c r="AT56">
        <f>IF(AS56="",0,INDEX(データベース!T$2:T$4,MATCH(AS56,データベース!S$2:S$4,0)))</f>
        <v>0</v>
      </c>
      <c r="AV56">
        <f>IF(AU56="",0,INDEX(データベース!V$2:V$37,MATCH(AU56,データベース!U$2:U$37,0)))</f>
        <v>0</v>
      </c>
      <c r="AX56">
        <v>0</v>
      </c>
      <c r="AZ56">
        <v>0</v>
      </c>
      <c r="BB56">
        <v>0</v>
      </c>
    </row>
    <row r="57" spans="2:54">
      <c r="B57">
        <v>0</v>
      </c>
      <c r="G57">
        <f>IF(F57="",0,INDEX(データベース!D$2:D$4,MATCH(F57,データベース!C$2:C$4,0)))</f>
        <v>0</v>
      </c>
      <c r="J57" s="19" t="str">
        <f t="shared" si="0"/>
        <v>服装・</v>
      </c>
      <c r="L57" s="19" t="str">
        <f t="shared" si="1"/>
        <v>感情・</v>
      </c>
      <c r="N57" s="19" cm="1">
        <f t="array" aca="1" ref="N57" ca="1">IF(H57="",0,INDEX(データベース!$F$2:$F$5,MATCH(H57,データベース!$E$2:$E$5,0)))*1000
+IF(I57="",0,INDEX(データベース!$D$41:$D$44,MATCH(I57,OFFSET(データベース!$A$41,0,IF(H57="",0,INDEX(データベース!$F$2:$F$5,MATCH(H57,データベース!$E$2:$E$5,0)))-1,4,1),0),))*100
+IF(K57="",0,INDEX(データベース!$D$48:$D$52,MATCH(K57,OFFSET(データベース!$A$48,0,IF(H57="",0,INDEX(データベース!$F$2:$F$5,MATCH(H57,データベース!$E$2:$E$5,0)))-1,5,1),0),))*10
+IF(M57="",0,INDEX(データベース!$D$56:$D$62,MATCH(M57,OFFSET(データベース!$A$56,0,IF(H57="",0,INDEX(データベース!$F$2:$F$5,MATCH(H57,データベース!$E$2:$E$5,0)))-1,7,1),0),))</f>
        <v>0</v>
      </c>
      <c r="P57">
        <f>IF(O57="",0,INDEX(データベース!$H$2:$H$4,MATCH(O57,データベース!$G$2:$G$4,0)))</f>
        <v>0</v>
      </c>
      <c r="S57" s="18" t="str">
        <f t="shared" si="2"/>
        <v>服装・</v>
      </c>
      <c r="U57" s="18" t="str">
        <f t="shared" si="3"/>
        <v>感情・</v>
      </c>
      <c r="W57" s="18" cm="1">
        <f t="array" aca="1" ref="W57" ca="1">IF(Q57="",0,INDEX(データベース!$F$2:$F$5,MATCH(Q57,データベース!$E$2:$E$5,0)))*1000
+IF(R57="",0,INDEX(データベース!$D$41:$D$44,MATCH(R57,OFFSET(データベース!$A$41,0,IF(Q57="",0,INDEX(データベース!$F$2:$F$5,MATCH(Q57,データベース!$E$2:$E$5,0)))-1,4,1),0),))*100
+IF(T57="",0,INDEX(データベース!$D$48:$D$52,MATCH(T57,OFFSET(データベース!$A$48,0,IF(Q57="",0,INDEX(データベース!$F$2:$F$5,MATCH(Q57,データベース!$E$2:$E$5,0)))-1,5,1),0),))*10
+IF(V57="",0,INDEX(データベース!$D$56:$D$62,MATCH(V57,OFFSET(データベース!$A$56,0,IF(Q57="",0,INDEX(データベース!$F$2:$F$5,MATCH(Q57,データベース!$E$2:$E$5,0)))-1,7,1),0),))</f>
        <v>0</v>
      </c>
      <c r="Y57">
        <f>IF(X57="",0,INDEX(データベース!$H$2:$H$4,MATCH(X57,データベース!$G$2:$G$4,0)))</f>
        <v>0</v>
      </c>
      <c r="AB57" s="9" t="str">
        <f t="shared" si="4"/>
        <v>服装・</v>
      </c>
      <c r="AD57" s="9" t="str">
        <f t="shared" si="5"/>
        <v>感情・</v>
      </c>
      <c r="AF57" s="9" cm="1">
        <f t="array" aca="1" ref="AF57" ca="1">IF(Z57="",0,INDEX(データベース!$F$2:$F$5,MATCH(Z57,データベース!$E$2:$E$5,0)))*1000
+IF(AA57="",0,INDEX(データベース!$D$41:$D$44,MATCH(AA57,OFFSET(データベース!$A$41,0,IF(Z57="",0,INDEX(データベース!$F$2:$F$5,MATCH(Z57,データベース!$E$2:$E$5,0)))-1,4,1),0),))*100
+IF(AC57="",0,INDEX(データベース!$D$48:$D$52,MATCH(AC57,OFFSET(データベース!$A$48,0,IF(Z57="",0,INDEX(データベース!$F$2:$F$5,MATCH(Z57,データベース!$E$2:$E$5,0)))-1,5,1),0),))*10
+IF(AE57="",0,INDEX(データベース!$D$56:$D$62,MATCH(AE57,OFFSET(データベース!$A$56,0,IF(Z57="",0,INDEX(データベース!$F$2:$F$5,MATCH(Z57,データベース!$E$2:$E$5,0)))-1,7,1),0),))</f>
        <v>0</v>
      </c>
      <c r="AH57">
        <f>IF(AG57="",0,INDEX(データベース!$H$2:$H$4,MATCH(AG57,データベース!$G$2:$G$4,0)))</f>
        <v>0</v>
      </c>
      <c r="AJ57">
        <f>IF(AI57="",0,INDEX(データベース!J$2:J$2,MATCH(AI57,データベース!I$2:I$2,0)))</f>
        <v>0</v>
      </c>
      <c r="AL57">
        <f>IF(AK57="",0,INDEX(データベース!L$2:L$3,MATCH(AK57,データベース!K$2:K$3,0)))</f>
        <v>0</v>
      </c>
      <c r="AN57">
        <f>IF(AM57="",0,INDEX(データベース!N$2:N$5,MATCH(AM57,データベース!M$2:M$5,0)))</f>
        <v>0</v>
      </c>
      <c r="AO57" s="4"/>
      <c r="AP57">
        <f>IF(AO57="",0,INDEX(データベース!P$2:P$3,MATCH(AO57,データベース!O$2:O$3,0)))</f>
        <v>0</v>
      </c>
      <c r="AR57">
        <f>IF(AQ57="",0,INDEX(データベース!R$2:R$27,MATCH(AQ57,データベース!Q$2:Q$27,0)))</f>
        <v>0</v>
      </c>
      <c r="AT57">
        <f>IF(AS57="",0,INDEX(データベース!T$2:T$4,MATCH(AS57,データベース!S$2:S$4,0)))</f>
        <v>0</v>
      </c>
      <c r="AV57">
        <f>IF(AU57="",0,INDEX(データベース!V$2:V$37,MATCH(AU57,データベース!U$2:U$37,0)))</f>
        <v>0</v>
      </c>
      <c r="AX57">
        <v>0</v>
      </c>
      <c r="AZ57">
        <v>0</v>
      </c>
      <c r="BB57">
        <v>0</v>
      </c>
    </row>
    <row r="58" spans="2:54">
      <c r="B58">
        <v>0</v>
      </c>
      <c r="G58">
        <f>IF(F58="",0,INDEX(データベース!D$2:D$4,MATCH(F58,データベース!C$2:C$4,0)))</f>
        <v>0</v>
      </c>
      <c r="J58" s="19" t="str">
        <f t="shared" si="0"/>
        <v>服装・</v>
      </c>
      <c r="L58" s="19" t="str">
        <f t="shared" si="1"/>
        <v>感情・</v>
      </c>
      <c r="N58" s="19" cm="1">
        <f t="array" aca="1" ref="N58" ca="1">IF(H58="",0,INDEX(データベース!$F$2:$F$5,MATCH(H58,データベース!$E$2:$E$5,0)))*1000
+IF(I58="",0,INDEX(データベース!$D$41:$D$44,MATCH(I58,OFFSET(データベース!$A$41,0,IF(H58="",0,INDEX(データベース!$F$2:$F$5,MATCH(H58,データベース!$E$2:$E$5,0)))-1,4,1),0),))*100
+IF(K58="",0,INDEX(データベース!$D$48:$D$52,MATCH(K58,OFFSET(データベース!$A$48,0,IF(H58="",0,INDEX(データベース!$F$2:$F$5,MATCH(H58,データベース!$E$2:$E$5,0)))-1,5,1),0),))*10
+IF(M58="",0,INDEX(データベース!$D$56:$D$62,MATCH(M58,OFFSET(データベース!$A$56,0,IF(H58="",0,INDEX(データベース!$F$2:$F$5,MATCH(H58,データベース!$E$2:$E$5,0)))-1,7,1),0),))</f>
        <v>0</v>
      </c>
      <c r="P58">
        <f>IF(O58="",0,INDEX(データベース!$H$2:$H$4,MATCH(O58,データベース!$G$2:$G$4,0)))</f>
        <v>0</v>
      </c>
      <c r="S58" s="18" t="str">
        <f t="shared" si="2"/>
        <v>服装・</v>
      </c>
      <c r="U58" s="18" t="str">
        <f t="shared" si="3"/>
        <v>感情・</v>
      </c>
      <c r="W58" s="18" cm="1">
        <f t="array" aca="1" ref="W58" ca="1">IF(Q58="",0,INDEX(データベース!$F$2:$F$5,MATCH(Q58,データベース!$E$2:$E$5,0)))*1000
+IF(R58="",0,INDEX(データベース!$D$41:$D$44,MATCH(R58,OFFSET(データベース!$A$41,0,IF(Q58="",0,INDEX(データベース!$F$2:$F$5,MATCH(Q58,データベース!$E$2:$E$5,0)))-1,4,1),0),))*100
+IF(T58="",0,INDEX(データベース!$D$48:$D$52,MATCH(T58,OFFSET(データベース!$A$48,0,IF(Q58="",0,INDEX(データベース!$F$2:$F$5,MATCH(Q58,データベース!$E$2:$E$5,0)))-1,5,1),0),))*10
+IF(V58="",0,INDEX(データベース!$D$56:$D$62,MATCH(V58,OFFSET(データベース!$A$56,0,IF(Q58="",0,INDEX(データベース!$F$2:$F$5,MATCH(Q58,データベース!$E$2:$E$5,0)))-1,7,1),0),))</f>
        <v>0</v>
      </c>
      <c r="Y58">
        <f>IF(X58="",0,INDEX(データベース!$H$2:$H$4,MATCH(X58,データベース!$G$2:$G$4,0)))</f>
        <v>0</v>
      </c>
      <c r="AB58" s="9" t="str">
        <f t="shared" si="4"/>
        <v>服装・</v>
      </c>
      <c r="AD58" s="9" t="str">
        <f t="shared" si="5"/>
        <v>感情・</v>
      </c>
      <c r="AF58" s="9" cm="1">
        <f t="array" aca="1" ref="AF58" ca="1">IF(Z58="",0,INDEX(データベース!$F$2:$F$5,MATCH(Z58,データベース!$E$2:$E$5,0)))*1000
+IF(AA58="",0,INDEX(データベース!$D$41:$D$44,MATCH(AA58,OFFSET(データベース!$A$41,0,IF(Z58="",0,INDEX(データベース!$F$2:$F$5,MATCH(Z58,データベース!$E$2:$E$5,0)))-1,4,1),0),))*100
+IF(AC58="",0,INDEX(データベース!$D$48:$D$52,MATCH(AC58,OFFSET(データベース!$A$48,0,IF(Z58="",0,INDEX(データベース!$F$2:$F$5,MATCH(Z58,データベース!$E$2:$E$5,0)))-1,5,1),0),))*10
+IF(AE58="",0,INDEX(データベース!$D$56:$D$62,MATCH(AE58,OFFSET(データベース!$A$56,0,IF(Z58="",0,INDEX(データベース!$F$2:$F$5,MATCH(Z58,データベース!$E$2:$E$5,0)))-1,7,1),0),))</f>
        <v>0</v>
      </c>
      <c r="AH58">
        <f>IF(AG58="",0,INDEX(データベース!$H$2:$H$4,MATCH(AG58,データベース!$G$2:$G$4,0)))</f>
        <v>0</v>
      </c>
      <c r="AJ58">
        <f>IF(AI58="",0,INDEX(データベース!J$2:J$2,MATCH(AI58,データベース!I$2:I$2,0)))</f>
        <v>0</v>
      </c>
      <c r="AL58">
        <f>IF(AK58="",0,INDEX(データベース!L$2:L$3,MATCH(AK58,データベース!K$2:K$3,0)))</f>
        <v>0</v>
      </c>
      <c r="AN58">
        <f>IF(AM58="",0,INDEX(データベース!N$2:N$5,MATCH(AM58,データベース!M$2:M$5,0)))</f>
        <v>0</v>
      </c>
      <c r="AO58" s="4"/>
      <c r="AP58">
        <f>IF(AO58="",0,INDEX(データベース!P$2:P$3,MATCH(AO58,データベース!O$2:O$3,0)))</f>
        <v>0</v>
      </c>
      <c r="AR58">
        <f>IF(AQ58="",0,INDEX(データベース!R$2:R$27,MATCH(AQ58,データベース!Q$2:Q$27,0)))</f>
        <v>0</v>
      </c>
      <c r="AT58">
        <f>IF(AS58="",0,INDEX(データベース!T$2:T$4,MATCH(AS58,データベース!S$2:S$4,0)))</f>
        <v>0</v>
      </c>
      <c r="AV58">
        <f>IF(AU58="",0,INDEX(データベース!V$2:V$37,MATCH(AU58,データベース!U$2:U$37,0)))</f>
        <v>0</v>
      </c>
      <c r="AX58">
        <v>0</v>
      </c>
      <c r="AZ58">
        <v>0</v>
      </c>
      <c r="BB58">
        <v>0</v>
      </c>
    </row>
    <row r="59" spans="2:54">
      <c r="B59">
        <v>0</v>
      </c>
      <c r="G59">
        <f>IF(F59="",0,INDEX(データベース!D$2:D$4,MATCH(F59,データベース!C$2:C$4,0)))</f>
        <v>0</v>
      </c>
      <c r="J59" s="19" t="str">
        <f t="shared" si="0"/>
        <v>服装・</v>
      </c>
      <c r="L59" s="19" t="str">
        <f t="shared" si="1"/>
        <v>感情・</v>
      </c>
      <c r="N59" s="19" cm="1">
        <f t="array" aca="1" ref="N59" ca="1">IF(H59="",0,INDEX(データベース!$F$2:$F$5,MATCH(H59,データベース!$E$2:$E$5,0)))*1000
+IF(I59="",0,INDEX(データベース!$D$41:$D$44,MATCH(I59,OFFSET(データベース!$A$41,0,IF(H59="",0,INDEX(データベース!$F$2:$F$5,MATCH(H59,データベース!$E$2:$E$5,0)))-1,4,1),0),))*100
+IF(K59="",0,INDEX(データベース!$D$48:$D$52,MATCH(K59,OFFSET(データベース!$A$48,0,IF(H59="",0,INDEX(データベース!$F$2:$F$5,MATCH(H59,データベース!$E$2:$E$5,0)))-1,5,1),0),))*10
+IF(M59="",0,INDEX(データベース!$D$56:$D$62,MATCH(M59,OFFSET(データベース!$A$56,0,IF(H59="",0,INDEX(データベース!$F$2:$F$5,MATCH(H59,データベース!$E$2:$E$5,0)))-1,7,1),0),))</f>
        <v>0</v>
      </c>
      <c r="P59">
        <f>IF(O59="",0,INDEX(データベース!$H$2:$H$4,MATCH(O59,データベース!$G$2:$G$4,0)))</f>
        <v>0</v>
      </c>
      <c r="S59" s="18" t="str">
        <f t="shared" si="2"/>
        <v>服装・</v>
      </c>
      <c r="U59" s="18" t="str">
        <f t="shared" si="3"/>
        <v>感情・</v>
      </c>
      <c r="W59" s="18" cm="1">
        <f t="array" aca="1" ref="W59" ca="1">IF(Q59="",0,INDEX(データベース!$F$2:$F$5,MATCH(Q59,データベース!$E$2:$E$5,0)))*1000
+IF(R59="",0,INDEX(データベース!$D$41:$D$44,MATCH(R59,OFFSET(データベース!$A$41,0,IF(Q59="",0,INDEX(データベース!$F$2:$F$5,MATCH(Q59,データベース!$E$2:$E$5,0)))-1,4,1),0),))*100
+IF(T59="",0,INDEX(データベース!$D$48:$D$52,MATCH(T59,OFFSET(データベース!$A$48,0,IF(Q59="",0,INDEX(データベース!$F$2:$F$5,MATCH(Q59,データベース!$E$2:$E$5,0)))-1,5,1),0),))*10
+IF(V59="",0,INDEX(データベース!$D$56:$D$62,MATCH(V59,OFFSET(データベース!$A$56,0,IF(Q59="",0,INDEX(データベース!$F$2:$F$5,MATCH(Q59,データベース!$E$2:$E$5,0)))-1,7,1),0),))</f>
        <v>0</v>
      </c>
      <c r="Y59">
        <f>IF(X59="",0,INDEX(データベース!$H$2:$H$4,MATCH(X59,データベース!$G$2:$G$4,0)))</f>
        <v>0</v>
      </c>
      <c r="AB59" s="9" t="str">
        <f t="shared" si="4"/>
        <v>服装・</v>
      </c>
      <c r="AD59" s="9" t="str">
        <f t="shared" si="5"/>
        <v>感情・</v>
      </c>
      <c r="AF59" s="9" cm="1">
        <f t="array" aca="1" ref="AF59" ca="1">IF(Z59="",0,INDEX(データベース!$F$2:$F$5,MATCH(Z59,データベース!$E$2:$E$5,0)))*1000
+IF(AA59="",0,INDEX(データベース!$D$41:$D$44,MATCH(AA59,OFFSET(データベース!$A$41,0,IF(Z59="",0,INDEX(データベース!$F$2:$F$5,MATCH(Z59,データベース!$E$2:$E$5,0)))-1,4,1),0),))*100
+IF(AC59="",0,INDEX(データベース!$D$48:$D$52,MATCH(AC59,OFFSET(データベース!$A$48,0,IF(Z59="",0,INDEX(データベース!$F$2:$F$5,MATCH(Z59,データベース!$E$2:$E$5,0)))-1,5,1),0),))*10
+IF(AE59="",0,INDEX(データベース!$D$56:$D$62,MATCH(AE59,OFFSET(データベース!$A$56,0,IF(Z59="",0,INDEX(データベース!$F$2:$F$5,MATCH(Z59,データベース!$E$2:$E$5,0)))-1,7,1),0),))</f>
        <v>0</v>
      </c>
      <c r="AH59">
        <f>IF(AG59="",0,INDEX(データベース!$H$2:$H$4,MATCH(AG59,データベース!$G$2:$G$4,0)))</f>
        <v>0</v>
      </c>
      <c r="AJ59">
        <f>IF(AI59="",0,INDEX(データベース!J$2:J$2,MATCH(AI59,データベース!I$2:I$2,0)))</f>
        <v>0</v>
      </c>
      <c r="AL59">
        <f>IF(AK59="",0,INDEX(データベース!L$2:L$3,MATCH(AK59,データベース!K$2:K$3,0)))</f>
        <v>0</v>
      </c>
      <c r="AN59">
        <f>IF(AM59="",0,INDEX(データベース!N$2:N$5,MATCH(AM59,データベース!M$2:M$5,0)))</f>
        <v>0</v>
      </c>
      <c r="AO59" s="4"/>
      <c r="AP59">
        <f>IF(AO59="",0,INDEX(データベース!P$2:P$3,MATCH(AO59,データベース!O$2:O$3,0)))</f>
        <v>0</v>
      </c>
      <c r="AR59">
        <f>IF(AQ59="",0,INDEX(データベース!R$2:R$27,MATCH(AQ59,データベース!Q$2:Q$27,0)))</f>
        <v>0</v>
      </c>
      <c r="AT59">
        <f>IF(AS59="",0,INDEX(データベース!T$2:T$4,MATCH(AS59,データベース!S$2:S$4,0)))</f>
        <v>0</v>
      </c>
      <c r="AV59">
        <f>IF(AU59="",0,INDEX(データベース!V$2:V$37,MATCH(AU59,データベース!U$2:U$37,0)))</f>
        <v>0</v>
      </c>
      <c r="AX59">
        <v>0</v>
      </c>
      <c r="AZ59">
        <v>0</v>
      </c>
      <c r="BB59">
        <v>0</v>
      </c>
    </row>
    <row r="60" spans="2:54">
      <c r="B60">
        <v>0</v>
      </c>
      <c r="G60">
        <f>IF(F60="",0,INDEX(データベース!D$2:D$4,MATCH(F60,データベース!C$2:C$4,0)))</f>
        <v>0</v>
      </c>
      <c r="J60" s="19" t="str">
        <f t="shared" si="0"/>
        <v>服装・</v>
      </c>
      <c r="L60" s="19" t="str">
        <f t="shared" si="1"/>
        <v>感情・</v>
      </c>
      <c r="N60" s="19" cm="1">
        <f t="array" aca="1" ref="N60" ca="1">IF(H60="",0,INDEX(データベース!$F$2:$F$5,MATCH(H60,データベース!$E$2:$E$5,0)))*1000
+IF(I60="",0,INDEX(データベース!$D$41:$D$44,MATCH(I60,OFFSET(データベース!$A$41,0,IF(H60="",0,INDEX(データベース!$F$2:$F$5,MATCH(H60,データベース!$E$2:$E$5,0)))-1,4,1),0),))*100
+IF(K60="",0,INDEX(データベース!$D$48:$D$52,MATCH(K60,OFFSET(データベース!$A$48,0,IF(H60="",0,INDEX(データベース!$F$2:$F$5,MATCH(H60,データベース!$E$2:$E$5,0)))-1,5,1),0),))*10
+IF(M60="",0,INDEX(データベース!$D$56:$D$62,MATCH(M60,OFFSET(データベース!$A$56,0,IF(H60="",0,INDEX(データベース!$F$2:$F$5,MATCH(H60,データベース!$E$2:$E$5,0)))-1,7,1),0),))</f>
        <v>0</v>
      </c>
      <c r="P60">
        <f>IF(O60="",0,INDEX(データベース!$H$2:$H$4,MATCH(O60,データベース!$G$2:$G$4,0)))</f>
        <v>0</v>
      </c>
      <c r="S60" s="18" t="str">
        <f t="shared" si="2"/>
        <v>服装・</v>
      </c>
      <c r="U60" s="18" t="str">
        <f t="shared" si="3"/>
        <v>感情・</v>
      </c>
      <c r="W60" s="18" cm="1">
        <f t="array" aca="1" ref="W60" ca="1">IF(Q60="",0,INDEX(データベース!$F$2:$F$5,MATCH(Q60,データベース!$E$2:$E$5,0)))*1000
+IF(R60="",0,INDEX(データベース!$D$41:$D$44,MATCH(R60,OFFSET(データベース!$A$41,0,IF(Q60="",0,INDEX(データベース!$F$2:$F$5,MATCH(Q60,データベース!$E$2:$E$5,0)))-1,4,1),0),))*100
+IF(T60="",0,INDEX(データベース!$D$48:$D$52,MATCH(T60,OFFSET(データベース!$A$48,0,IF(Q60="",0,INDEX(データベース!$F$2:$F$5,MATCH(Q60,データベース!$E$2:$E$5,0)))-1,5,1),0),))*10
+IF(V60="",0,INDEX(データベース!$D$56:$D$62,MATCH(V60,OFFSET(データベース!$A$56,0,IF(Q60="",0,INDEX(データベース!$F$2:$F$5,MATCH(Q60,データベース!$E$2:$E$5,0)))-1,7,1),0),))</f>
        <v>0</v>
      </c>
      <c r="Y60">
        <f>IF(X60="",0,INDEX(データベース!$H$2:$H$4,MATCH(X60,データベース!$G$2:$G$4,0)))</f>
        <v>0</v>
      </c>
      <c r="AB60" s="9" t="str">
        <f t="shared" si="4"/>
        <v>服装・</v>
      </c>
      <c r="AD60" s="9" t="str">
        <f t="shared" si="5"/>
        <v>感情・</v>
      </c>
      <c r="AF60" s="9" cm="1">
        <f t="array" aca="1" ref="AF60" ca="1">IF(Z60="",0,INDEX(データベース!$F$2:$F$5,MATCH(Z60,データベース!$E$2:$E$5,0)))*1000
+IF(AA60="",0,INDEX(データベース!$D$41:$D$44,MATCH(AA60,OFFSET(データベース!$A$41,0,IF(Z60="",0,INDEX(データベース!$F$2:$F$5,MATCH(Z60,データベース!$E$2:$E$5,0)))-1,4,1),0),))*100
+IF(AC60="",0,INDEX(データベース!$D$48:$D$52,MATCH(AC60,OFFSET(データベース!$A$48,0,IF(Z60="",0,INDEX(データベース!$F$2:$F$5,MATCH(Z60,データベース!$E$2:$E$5,0)))-1,5,1),0),))*10
+IF(AE60="",0,INDEX(データベース!$D$56:$D$62,MATCH(AE60,OFFSET(データベース!$A$56,0,IF(Z60="",0,INDEX(データベース!$F$2:$F$5,MATCH(Z60,データベース!$E$2:$E$5,0)))-1,7,1),0),))</f>
        <v>0</v>
      </c>
      <c r="AH60">
        <f>IF(AG60="",0,INDEX(データベース!$H$2:$H$4,MATCH(AG60,データベース!$G$2:$G$4,0)))</f>
        <v>0</v>
      </c>
      <c r="AJ60">
        <f>IF(AI60="",0,INDEX(データベース!J$2:J$2,MATCH(AI60,データベース!I$2:I$2,0)))</f>
        <v>0</v>
      </c>
      <c r="AL60">
        <f>IF(AK60="",0,INDEX(データベース!L$2:L$3,MATCH(AK60,データベース!K$2:K$3,0)))</f>
        <v>0</v>
      </c>
      <c r="AN60">
        <f>IF(AM60="",0,INDEX(データベース!N$2:N$5,MATCH(AM60,データベース!M$2:M$5,0)))</f>
        <v>0</v>
      </c>
      <c r="AO60" s="4"/>
      <c r="AP60">
        <f>IF(AO60="",0,INDEX(データベース!P$2:P$3,MATCH(AO60,データベース!O$2:O$3,0)))</f>
        <v>0</v>
      </c>
      <c r="AR60">
        <f>IF(AQ60="",0,INDEX(データベース!R$2:R$27,MATCH(AQ60,データベース!Q$2:Q$27,0)))</f>
        <v>0</v>
      </c>
      <c r="AT60">
        <f>IF(AS60="",0,INDEX(データベース!T$2:T$4,MATCH(AS60,データベース!S$2:S$4,0)))</f>
        <v>0</v>
      </c>
      <c r="AV60">
        <f>IF(AU60="",0,INDEX(データベース!V$2:V$37,MATCH(AU60,データベース!U$2:U$37,0)))</f>
        <v>0</v>
      </c>
      <c r="AX60">
        <v>0</v>
      </c>
      <c r="AZ60">
        <v>0</v>
      </c>
      <c r="BB60">
        <v>0</v>
      </c>
    </row>
    <row r="61" spans="2:54">
      <c r="B61">
        <v>0</v>
      </c>
      <c r="G61">
        <f>IF(F61="",0,INDEX(データベース!D$2:D$4,MATCH(F61,データベース!C$2:C$4,0)))</f>
        <v>0</v>
      </c>
      <c r="J61" s="19" t="str">
        <f t="shared" si="0"/>
        <v>服装・</v>
      </c>
      <c r="L61" s="19" t="str">
        <f t="shared" si="1"/>
        <v>感情・</v>
      </c>
      <c r="N61" s="19" cm="1">
        <f t="array" aca="1" ref="N61" ca="1">IF(H61="",0,INDEX(データベース!$F$2:$F$5,MATCH(H61,データベース!$E$2:$E$5,0)))*1000
+IF(I61="",0,INDEX(データベース!$D$41:$D$44,MATCH(I61,OFFSET(データベース!$A$41,0,IF(H61="",0,INDEX(データベース!$F$2:$F$5,MATCH(H61,データベース!$E$2:$E$5,0)))-1,4,1),0),))*100
+IF(K61="",0,INDEX(データベース!$D$48:$D$52,MATCH(K61,OFFSET(データベース!$A$48,0,IF(H61="",0,INDEX(データベース!$F$2:$F$5,MATCH(H61,データベース!$E$2:$E$5,0)))-1,5,1),0),))*10
+IF(M61="",0,INDEX(データベース!$D$56:$D$62,MATCH(M61,OFFSET(データベース!$A$56,0,IF(H61="",0,INDEX(データベース!$F$2:$F$5,MATCH(H61,データベース!$E$2:$E$5,0)))-1,7,1),0),))</f>
        <v>0</v>
      </c>
      <c r="P61">
        <f>IF(O61="",0,INDEX(データベース!$H$2:$H$4,MATCH(O61,データベース!$G$2:$G$4,0)))</f>
        <v>0</v>
      </c>
      <c r="S61" s="18" t="str">
        <f t="shared" si="2"/>
        <v>服装・</v>
      </c>
      <c r="U61" s="18" t="str">
        <f t="shared" si="3"/>
        <v>感情・</v>
      </c>
      <c r="W61" s="18" cm="1">
        <f t="array" aca="1" ref="W61" ca="1">IF(Q61="",0,INDEX(データベース!$F$2:$F$5,MATCH(Q61,データベース!$E$2:$E$5,0)))*1000
+IF(R61="",0,INDEX(データベース!$D$41:$D$44,MATCH(R61,OFFSET(データベース!$A$41,0,IF(Q61="",0,INDEX(データベース!$F$2:$F$5,MATCH(Q61,データベース!$E$2:$E$5,0)))-1,4,1),0),))*100
+IF(T61="",0,INDEX(データベース!$D$48:$D$52,MATCH(T61,OFFSET(データベース!$A$48,0,IF(Q61="",0,INDEX(データベース!$F$2:$F$5,MATCH(Q61,データベース!$E$2:$E$5,0)))-1,5,1),0),))*10
+IF(V61="",0,INDEX(データベース!$D$56:$D$62,MATCH(V61,OFFSET(データベース!$A$56,0,IF(Q61="",0,INDEX(データベース!$F$2:$F$5,MATCH(Q61,データベース!$E$2:$E$5,0)))-1,7,1),0),))</f>
        <v>0</v>
      </c>
      <c r="Y61">
        <f>IF(X61="",0,INDEX(データベース!$H$2:$H$4,MATCH(X61,データベース!$G$2:$G$4,0)))</f>
        <v>0</v>
      </c>
      <c r="AB61" s="9" t="str">
        <f t="shared" si="4"/>
        <v>服装・</v>
      </c>
      <c r="AD61" s="9" t="str">
        <f t="shared" si="5"/>
        <v>感情・</v>
      </c>
      <c r="AF61" s="9" cm="1">
        <f t="array" aca="1" ref="AF61" ca="1">IF(Z61="",0,INDEX(データベース!$F$2:$F$5,MATCH(Z61,データベース!$E$2:$E$5,0)))*1000
+IF(AA61="",0,INDEX(データベース!$D$41:$D$44,MATCH(AA61,OFFSET(データベース!$A$41,0,IF(Z61="",0,INDEX(データベース!$F$2:$F$5,MATCH(Z61,データベース!$E$2:$E$5,0)))-1,4,1),0),))*100
+IF(AC61="",0,INDEX(データベース!$D$48:$D$52,MATCH(AC61,OFFSET(データベース!$A$48,0,IF(Z61="",0,INDEX(データベース!$F$2:$F$5,MATCH(Z61,データベース!$E$2:$E$5,0)))-1,5,1),0),))*10
+IF(AE61="",0,INDEX(データベース!$D$56:$D$62,MATCH(AE61,OFFSET(データベース!$A$56,0,IF(Z61="",0,INDEX(データベース!$F$2:$F$5,MATCH(Z61,データベース!$E$2:$E$5,0)))-1,7,1),0),))</f>
        <v>0</v>
      </c>
      <c r="AH61">
        <f>IF(AG61="",0,INDEX(データベース!$H$2:$H$4,MATCH(AG61,データベース!$G$2:$G$4,0)))</f>
        <v>0</v>
      </c>
      <c r="AJ61">
        <f>IF(AI61="",0,INDEX(データベース!J$2:J$2,MATCH(AI61,データベース!I$2:I$2,0)))</f>
        <v>0</v>
      </c>
      <c r="AL61">
        <f>IF(AK61="",0,INDEX(データベース!L$2:L$3,MATCH(AK61,データベース!K$2:K$3,0)))</f>
        <v>0</v>
      </c>
      <c r="AN61">
        <f>IF(AM61="",0,INDEX(データベース!N$2:N$5,MATCH(AM61,データベース!M$2:M$5,0)))</f>
        <v>0</v>
      </c>
      <c r="AO61" s="4"/>
      <c r="AP61">
        <f>IF(AO61="",0,INDEX(データベース!P$2:P$3,MATCH(AO61,データベース!O$2:O$3,0)))</f>
        <v>0</v>
      </c>
      <c r="AR61">
        <f>IF(AQ61="",0,INDEX(データベース!R$2:R$27,MATCH(AQ61,データベース!Q$2:Q$27,0)))</f>
        <v>0</v>
      </c>
      <c r="AT61">
        <f>IF(AS61="",0,INDEX(データベース!T$2:T$4,MATCH(AS61,データベース!S$2:S$4,0)))</f>
        <v>0</v>
      </c>
      <c r="AV61">
        <f>IF(AU61="",0,INDEX(データベース!V$2:V$37,MATCH(AU61,データベース!U$2:U$37,0)))</f>
        <v>0</v>
      </c>
      <c r="AX61">
        <v>0</v>
      </c>
      <c r="AZ61">
        <v>0</v>
      </c>
      <c r="BB61">
        <v>0</v>
      </c>
    </row>
    <row r="62" spans="2:54">
      <c r="B62">
        <v>0</v>
      </c>
      <c r="G62">
        <f>IF(F62="",0,INDEX(データベース!D$2:D$4,MATCH(F62,データベース!C$2:C$4,0)))</f>
        <v>0</v>
      </c>
      <c r="J62" s="19" t="str">
        <f t="shared" si="0"/>
        <v>服装・</v>
      </c>
      <c r="L62" s="19" t="str">
        <f t="shared" si="1"/>
        <v>感情・</v>
      </c>
      <c r="N62" s="19" cm="1">
        <f t="array" aca="1" ref="N62" ca="1">IF(H62="",0,INDEX(データベース!$F$2:$F$5,MATCH(H62,データベース!$E$2:$E$5,0)))*1000
+IF(I62="",0,INDEX(データベース!$D$41:$D$44,MATCH(I62,OFFSET(データベース!$A$41,0,IF(H62="",0,INDEX(データベース!$F$2:$F$5,MATCH(H62,データベース!$E$2:$E$5,0)))-1,4,1),0),))*100
+IF(K62="",0,INDEX(データベース!$D$48:$D$52,MATCH(K62,OFFSET(データベース!$A$48,0,IF(H62="",0,INDEX(データベース!$F$2:$F$5,MATCH(H62,データベース!$E$2:$E$5,0)))-1,5,1),0),))*10
+IF(M62="",0,INDEX(データベース!$D$56:$D$62,MATCH(M62,OFFSET(データベース!$A$56,0,IF(H62="",0,INDEX(データベース!$F$2:$F$5,MATCH(H62,データベース!$E$2:$E$5,0)))-1,7,1),0),))</f>
        <v>0</v>
      </c>
      <c r="P62">
        <f>IF(O62="",0,INDEX(データベース!$H$2:$H$4,MATCH(O62,データベース!$G$2:$G$4,0)))</f>
        <v>0</v>
      </c>
      <c r="S62" s="18" t="str">
        <f t="shared" si="2"/>
        <v>服装・</v>
      </c>
      <c r="U62" s="18" t="str">
        <f t="shared" si="3"/>
        <v>感情・</v>
      </c>
      <c r="W62" s="18" cm="1">
        <f t="array" aca="1" ref="W62" ca="1">IF(Q62="",0,INDEX(データベース!$F$2:$F$5,MATCH(Q62,データベース!$E$2:$E$5,0)))*1000
+IF(R62="",0,INDEX(データベース!$D$41:$D$44,MATCH(R62,OFFSET(データベース!$A$41,0,IF(Q62="",0,INDEX(データベース!$F$2:$F$5,MATCH(Q62,データベース!$E$2:$E$5,0)))-1,4,1),0),))*100
+IF(T62="",0,INDEX(データベース!$D$48:$D$52,MATCH(T62,OFFSET(データベース!$A$48,0,IF(Q62="",0,INDEX(データベース!$F$2:$F$5,MATCH(Q62,データベース!$E$2:$E$5,0)))-1,5,1),0),))*10
+IF(V62="",0,INDEX(データベース!$D$56:$D$62,MATCH(V62,OFFSET(データベース!$A$56,0,IF(Q62="",0,INDEX(データベース!$F$2:$F$5,MATCH(Q62,データベース!$E$2:$E$5,0)))-1,7,1),0),))</f>
        <v>0</v>
      </c>
      <c r="Y62">
        <f>IF(X62="",0,INDEX(データベース!$H$2:$H$4,MATCH(X62,データベース!$G$2:$G$4,0)))</f>
        <v>0</v>
      </c>
      <c r="AB62" s="9" t="str">
        <f t="shared" si="4"/>
        <v>服装・</v>
      </c>
      <c r="AD62" s="9" t="str">
        <f t="shared" si="5"/>
        <v>感情・</v>
      </c>
      <c r="AF62" s="9" cm="1">
        <f t="array" aca="1" ref="AF62" ca="1">IF(Z62="",0,INDEX(データベース!$F$2:$F$5,MATCH(Z62,データベース!$E$2:$E$5,0)))*1000
+IF(AA62="",0,INDEX(データベース!$D$41:$D$44,MATCH(AA62,OFFSET(データベース!$A$41,0,IF(Z62="",0,INDEX(データベース!$F$2:$F$5,MATCH(Z62,データベース!$E$2:$E$5,0)))-1,4,1),0),))*100
+IF(AC62="",0,INDEX(データベース!$D$48:$D$52,MATCH(AC62,OFFSET(データベース!$A$48,0,IF(Z62="",0,INDEX(データベース!$F$2:$F$5,MATCH(Z62,データベース!$E$2:$E$5,0)))-1,5,1),0),))*10
+IF(AE62="",0,INDEX(データベース!$D$56:$D$62,MATCH(AE62,OFFSET(データベース!$A$56,0,IF(Z62="",0,INDEX(データベース!$F$2:$F$5,MATCH(Z62,データベース!$E$2:$E$5,0)))-1,7,1),0),))</f>
        <v>0</v>
      </c>
      <c r="AH62">
        <f>IF(AG62="",0,INDEX(データベース!$H$2:$H$4,MATCH(AG62,データベース!$G$2:$G$4,0)))</f>
        <v>0</v>
      </c>
      <c r="AJ62">
        <f>IF(AI62="",0,INDEX(データベース!J$2:J$2,MATCH(AI62,データベース!I$2:I$2,0)))</f>
        <v>0</v>
      </c>
      <c r="AL62">
        <f>IF(AK62="",0,INDEX(データベース!L$2:L$3,MATCH(AK62,データベース!K$2:K$3,0)))</f>
        <v>0</v>
      </c>
      <c r="AN62">
        <f>IF(AM62="",0,INDEX(データベース!N$2:N$5,MATCH(AM62,データベース!M$2:M$5,0)))</f>
        <v>0</v>
      </c>
      <c r="AO62" s="4"/>
      <c r="AP62">
        <f>IF(AO62="",0,INDEX(データベース!P$2:P$3,MATCH(AO62,データベース!O$2:O$3,0)))</f>
        <v>0</v>
      </c>
      <c r="AR62">
        <f>IF(AQ62="",0,INDEX(データベース!R$2:R$27,MATCH(AQ62,データベース!Q$2:Q$27,0)))</f>
        <v>0</v>
      </c>
      <c r="AT62">
        <f>IF(AS62="",0,INDEX(データベース!T$2:T$4,MATCH(AS62,データベース!S$2:S$4,0)))</f>
        <v>0</v>
      </c>
      <c r="AV62">
        <f>IF(AU62="",0,INDEX(データベース!V$2:V$37,MATCH(AU62,データベース!U$2:U$37,0)))</f>
        <v>0</v>
      </c>
      <c r="AX62">
        <v>0</v>
      </c>
      <c r="AZ62">
        <v>0</v>
      </c>
      <c r="BB62">
        <v>0</v>
      </c>
    </row>
    <row r="63" spans="2:54">
      <c r="B63">
        <v>0</v>
      </c>
      <c r="G63">
        <f>IF(F63="",0,INDEX(データベース!D$2:D$4,MATCH(F63,データベース!C$2:C$4,0)))</f>
        <v>0</v>
      </c>
      <c r="J63" s="19" t="str">
        <f t="shared" si="0"/>
        <v>服装・</v>
      </c>
      <c r="L63" s="19" t="str">
        <f t="shared" si="1"/>
        <v>感情・</v>
      </c>
      <c r="N63" s="19" cm="1">
        <f t="array" aca="1" ref="N63" ca="1">IF(H63="",0,INDEX(データベース!$F$2:$F$5,MATCH(H63,データベース!$E$2:$E$5,0)))*1000
+IF(I63="",0,INDEX(データベース!$D$41:$D$44,MATCH(I63,OFFSET(データベース!$A$41,0,IF(H63="",0,INDEX(データベース!$F$2:$F$5,MATCH(H63,データベース!$E$2:$E$5,0)))-1,4,1),0),))*100
+IF(K63="",0,INDEX(データベース!$D$48:$D$52,MATCH(K63,OFFSET(データベース!$A$48,0,IF(H63="",0,INDEX(データベース!$F$2:$F$5,MATCH(H63,データベース!$E$2:$E$5,0)))-1,5,1),0),))*10
+IF(M63="",0,INDEX(データベース!$D$56:$D$62,MATCH(M63,OFFSET(データベース!$A$56,0,IF(H63="",0,INDEX(データベース!$F$2:$F$5,MATCH(H63,データベース!$E$2:$E$5,0)))-1,7,1),0),))</f>
        <v>0</v>
      </c>
      <c r="P63">
        <f>IF(O63="",0,INDEX(データベース!$H$2:$H$4,MATCH(O63,データベース!$G$2:$G$4,0)))</f>
        <v>0</v>
      </c>
      <c r="S63" s="18" t="str">
        <f t="shared" si="2"/>
        <v>服装・</v>
      </c>
      <c r="U63" s="18" t="str">
        <f t="shared" si="3"/>
        <v>感情・</v>
      </c>
      <c r="W63" s="18" cm="1">
        <f t="array" aca="1" ref="W63" ca="1">IF(Q63="",0,INDEX(データベース!$F$2:$F$5,MATCH(Q63,データベース!$E$2:$E$5,0)))*1000
+IF(R63="",0,INDEX(データベース!$D$41:$D$44,MATCH(R63,OFFSET(データベース!$A$41,0,IF(Q63="",0,INDEX(データベース!$F$2:$F$5,MATCH(Q63,データベース!$E$2:$E$5,0)))-1,4,1),0),))*100
+IF(T63="",0,INDEX(データベース!$D$48:$D$52,MATCH(T63,OFFSET(データベース!$A$48,0,IF(Q63="",0,INDEX(データベース!$F$2:$F$5,MATCH(Q63,データベース!$E$2:$E$5,0)))-1,5,1),0),))*10
+IF(V63="",0,INDEX(データベース!$D$56:$D$62,MATCH(V63,OFFSET(データベース!$A$56,0,IF(Q63="",0,INDEX(データベース!$F$2:$F$5,MATCH(Q63,データベース!$E$2:$E$5,0)))-1,7,1),0),))</f>
        <v>0</v>
      </c>
      <c r="Y63">
        <f>IF(X63="",0,INDEX(データベース!$H$2:$H$4,MATCH(X63,データベース!$G$2:$G$4,0)))</f>
        <v>0</v>
      </c>
      <c r="AB63" s="9" t="str">
        <f t="shared" si="4"/>
        <v>服装・</v>
      </c>
      <c r="AD63" s="9" t="str">
        <f t="shared" si="5"/>
        <v>感情・</v>
      </c>
      <c r="AF63" s="9" cm="1">
        <f t="array" aca="1" ref="AF63" ca="1">IF(Z63="",0,INDEX(データベース!$F$2:$F$5,MATCH(Z63,データベース!$E$2:$E$5,0)))*1000
+IF(AA63="",0,INDEX(データベース!$D$41:$D$44,MATCH(AA63,OFFSET(データベース!$A$41,0,IF(Z63="",0,INDEX(データベース!$F$2:$F$5,MATCH(Z63,データベース!$E$2:$E$5,0)))-1,4,1),0),))*100
+IF(AC63="",0,INDEX(データベース!$D$48:$D$52,MATCH(AC63,OFFSET(データベース!$A$48,0,IF(Z63="",0,INDEX(データベース!$F$2:$F$5,MATCH(Z63,データベース!$E$2:$E$5,0)))-1,5,1),0),))*10
+IF(AE63="",0,INDEX(データベース!$D$56:$D$62,MATCH(AE63,OFFSET(データベース!$A$56,0,IF(Z63="",0,INDEX(データベース!$F$2:$F$5,MATCH(Z63,データベース!$E$2:$E$5,0)))-1,7,1),0),))</f>
        <v>0</v>
      </c>
      <c r="AH63">
        <f>IF(AG63="",0,INDEX(データベース!$H$2:$H$4,MATCH(AG63,データベース!$G$2:$G$4,0)))</f>
        <v>0</v>
      </c>
      <c r="AJ63">
        <f>IF(AI63="",0,INDEX(データベース!J$2:J$2,MATCH(AI63,データベース!I$2:I$2,0)))</f>
        <v>0</v>
      </c>
      <c r="AL63">
        <f>IF(AK63="",0,INDEX(データベース!L$2:L$3,MATCH(AK63,データベース!K$2:K$3,0)))</f>
        <v>0</v>
      </c>
      <c r="AN63">
        <f>IF(AM63="",0,INDEX(データベース!N$2:N$5,MATCH(AM63,データベース!M$2:M$5,0)))</f>
        <v>0</v>
      </c>
      <c r="AO63" s="4"/>
      <c r="AP63">
        <f>IF(AO63="",0,INDEX(データベース!P$2:P$3,MATCH(AO63,データベース!O$2:O$3,0)))</f>
        <v>0</v>
      </c>
      <c r="AR63">
        <f>IF(AQ63="",0,INDEX(データベース!R$2:R$27,MATCH(AQ63,データベース!Q$2:Q$27,0)))</f>
        <v>0</v>
      </c>
      <c r="AT63">
        <f>IF(AS63="",0,INDEX(データベース!T$2:T$4,MATCH(AS63,データベース!S$2:S$4,0)))</f>
        <v>0</v>
      </c>
      <c r="AV63">
        <f>IF(AU63="",0,INDEX(データベース!V$2:V$37,MATCH(AU63,データベース!U$2:U$37,0)))</f>
        <v>0</v>
      </c>
      <c r="AX63">
        <v>0</v>
      </c>
      <c r="AZ63">
        <v>0</v>
      </c>
      <c r="BB63">
        <v>0</v>
      </c>
    </row>
    <row r="64" spans="2:54">
      <c r="B64">
        <v>0</v>
      </c>
      <c r="G64">
        <f>IF(F64="",0,INDEX(データベース!D$2:D$4,MATCH(F64,データベース!C$2:C$4,0)))</f>
        <v>0</v>
      </c>
      <c r="J64" s="19" t="str">
        <f t="shared" si="0"/>
        <v>服装・</v>
      </c>
      <c r="L64" s="19" t="str">
        <f t="shared" si="1"/>
        <v>感情・</v>
      </c>
      <c r="N64" s="19" cm="1">
        <f t="array" aca="1" ref="N64" ca="1">IF(H64="",0,INDEX(データベース!$F$2:$F$5,MATCH(H64,データベース!$E$2:$E$5,0)))*1000
+IF(I64="",0,INDEX(データベース!$D$41:$D$44,MATCH(I64,OFFSET(データベース!$A$41,0,IF(H64="",0,INDEX(データベース!$F$2:$F$5,MATCH(H64,データベース!$E$2:$E$5,0)))-1,4,1),0),))*100
+IF(K64="",0,INDEX(データベース!$D$48:$D$52,MATCH(K64,OFFSET(データベース!$A$48,0,IF(H64="",0,INDEX(データベース!$F$2:$F$5,MATCH(H64,データベース!$E$2:$E$5,0)))-1,5,1),0),))*10
+IF(M64="",0,INDEX(データベース!$D$56:$D$62,MATCH(M64,OFFSET(データベース!$A$56,0,IF(H64="",0,INDEX(データベース!$F$2:$F$5,MATCH(H64,データベース!$E$2:$E$5,0)))-1,7,1),0),))</f>
        <v>0</v>
      </c>
      <c r="P64">
        <f>IF(O64="",0,INDEX(データベース!$H$2:$H$4,MATCH(O64,データベース!$G$2:$G$4,0)))</f>
        <v>0</v>
      </c>
      <c r="S64" s="18" t="str">
        <f t="shared" si="2"/>
        <v>服装・</v>
      </c>
      <c r="U64" s="18" t="str">
        <f t="shared" si="3"/>
        <v>感情・</v>
      </c>
      <c r="W64" s="18" cm="1">
        <f t="array" aca="1" ref="W64" ca="1">IF(Q64="",0,INDEX(データベース!$F$2:$F$5,MATCH(Q64,データベース!$E$2:$E$5,0)))*1000
+IF(R64="",0,INDEX(データベース!$D$41:$D$44,MATCH(R64,OFFSET(データベース!$A$41,0,IF(Q64="",0,INDEX(データベース!$F$2:$F$5,MATCH(Q64,データベース!$E$2:$E$5,0)))-1,4,1),0),))*100
+IF(T64="",0,INDEX(データベース!$D$48:$D$52,MATCH(T64,OFFSET(データベース!$A$48,0,IF(Q64="",0,INDEX(データベース!$F$2:$F$5,MATCH(Q64,データベース!$E$2:$E$5,0)))-1,5,1),0),))*10
+IF(V64="",0,INDEX(データベース!$D$56:$D$62,MATCH(V64,OFFSET(データベース!$A$56,0,IF(Q64="",0,INDEX(データベース!$F$2:$F$5,MATCH(Q64,データベース!$E$2:$E$5,0)))-1,7,1),0),))</f>
        <v>0</v>
      </c>
      <c r="Y64">
        <f>IF(X64="",0,INDEX(データベース!$H$2:$H$4,MATCH(X64,データベース!$G$2:$G$4,0)))</f>
        <v>0</v>
      </c>
      <c r="AB64" s="9" t="str">
        <f t="shared" si="4"/>
        <v>服装・</v>
      </c>
      <c r="AD64" s="9" t="str">
        <f t="shared" si="5"/>
        <v>感情・</v>
      </c>
      <c r="AF64" s="9" cm="1">
        <f t="array" aca="1" ref="AF64" ca="1">IF(Z64="",0,INDEX(データベース!$F$2:$F$5,MATCH(Z64,データベース!$E$2:$E$5,0)))*1000
+IF(AA64="",0,INDEX(データベース!$D$41:$D$44,MATCH(AA64,OFFSET(データベース!$A$41,0,IF(Z64="",0,INDEX(データベース!$F$2:$F$5,MATCH(Z64,データベース!$E$2:$E$5,0)))-1,4,1),0),))*100
+IF(AC64="",0,INDEX(データベース!$D$48:$D$52,MATCH(AC64,OFFSET(データベース!$A$48,0,IF(Z64="",0,INDEX(データベース!$F$2:$F$5,MATCH(Z64,データベース!$E$2:$E$5,0)))-1,5,1),0),))*10
+IF(AE64="",0,INDEX(データベース!$D$56:$D$62,MATCH(AE64,OFFSET(データベース!$A$56,0,IF(Z64="",0,INDEX(データベース!$F$2:$F$5,MATCH(Z64,データベース!$E$2:$E$5,0)))-1,7,1),0),))</f>
        <v>0</v>
      </c>
      <c r="AH64">
        <f>IF(AG64="",0,INDEX(データベース!$H$2:$H$4,MATCH(AG64,データベース!$G$2:$G$4,0)))</f>
        <v>0</v>
      </c>
      <c r="AJ64">
        <f>IF(AI64="",0,INDEX(データベース!J$2:J$2,MATCH(AI64,データベース!I$2:I$2,0)))</f>
        <v>0</v>
      </c>
      <c r="AL64">
        <f>IF(AK64="",0,INDEX(データベース!L$2:L$3,MATCH(AK64,データベース!K$2:K$3,0)))</f>
        <v>0</v>
      </c>
      <c r="AN64">
        <f>IF(AM64="",0,INDEX(データベース!N$2:N$5,MATCH(AM64,データベース!M$2:M$5,0)))</f>
        <v>0</v>
      </c>
      <c r="AO64" s="4"/>
      <c r="AP64">
        <f>IF(AO64="",0,INDEX(データベース!P$2:P$3,MATCH(AO64,データベース!O$2:O$3,0)))</f>
        <v>0</v>
      </c>
      <c r="AR64">
        <f>IF(AQ64="",0,INDEX(データベース!R$2:R$27,MATCH(AQ64,データベース!Q$2:Q$27,0)))</f>
        <v>0</v>
      </c>
      <c r="AT64">
        <f>IF(AS64="",0,INDEX(データベース!T$2:T$4,MATCH(AS64,データベース!S$2:S$4,0)))</f>
        <v>0</v>
      </c>
      <c r="AV64">
        <f>IF(AU64="",0,INDEX(データベース!V$2:V$37,MATCH(AU64,データベース!U$2:U$37,0)))</f>
        <v>0</v>
      </c>
      <c r="AX64">
        <v>0</v>
      </c>
      <c r="AZ64">
        <v>0</v>
      </c>
      <c r="BB64">
        <v>0</v>
      </c>
    </row>
    <row r="65" spans="2:54">
      <c r="B65">
        <v>0</v>
      </c>
      <c r="G65">
        <f>IF(F65="",0,INDEX(データベース!D$2:D$4,MATCH(F65,データベース!C$2:C$4,0)))</f>
        <v>0</v>
      </c>
      <c r="J65" s="19" t="str">
        <f t="shared" si="0"/>
        <v>服装・</v>
      </c>
      <c r="L65" s="19" t="str">
        <f t="shared" si="1"/>
        <v>感情・</v>
      </c>
      <c r="N65" s="19" cm="1">
        <f t="array" aca="1" ref="N65" ca="1">IF(H65="",0,INDEX(データベース!$F$2:$F$5,MATCH(H65,データベース!$E$2:$E$5,0)))*1000
+IF(I65="",0,INDEX(データベース!$D$41:$D$44,MATCH(I65,OFFSET(データベース!$A$41,0,IF(H65="",0,INDEX(データベース!$F$2:$F$5,MATCH(H65,データベース!$E$2:$E$5,0)))-1,4,1),0),))*100
+IF(K65="",0,INDEX(データベース!$D$48:$D$52,MATCH(K65,OFFSET(データベース!$A$48,0,IF(H65="",0,INDEX(データベース!$F$2:$F$5,MATCH(H65,データベース!$E$2:$E$5,0)))-1,5,1),0),))*10
+IF(M65="",0,INDEX(データベース!$D$56:$D$62,MATCH(M65,OFFSET(データベース!$A$56,0,IF(H65="",0,INDEX(データベース!$F$2:$F$5,MATCH(H65,データベース!$E$2:$E$5,0)))-1,7,1),0),))</f>
        <v>0</v>
      </c>
      <c r="P65">
        <f>IF(O65="",0,INDEX(データベース!$H$2:$H$4,MATCH(O65,データベース!$G$2:$G$4,0)))</f>
        <v>0</v>
      </c>
      <c r="S65" s="18" t="str">
        <f t="shared" si="2"/>
        <v>服装・</v>
      </c>
      <c r="U65" s="18" t="str">
        <f t="shared" si="3"/>
        <v>感情・</v>
      </c>
      <c r="W65" s="18" cm="1">
        <f t="array" aca="1" ref="W65" ca="1">IF(Q65="",0,INDEX(データベース!$F$2:$F$5,MATCH(Q65,データベース!$E$2:$E$5,0)))*1000
+IF(R65="",0,INDEX(データベース!$D$41:$D$44,MATCH(R65,OFFSET(データベース!$A$41,0,IF(Q65="",0,INDEX(データベース!$F$2:$F$5,MATCH(Q65,データベース!$E$2:$E$5,0)))-1,4,1),0),))*100
+IF(T65="",0,INDEX(データベース!$D$48:$D$52,MATCH(T65,OFFSET(データベース!$A$48,0,IF(Q65="",0,INDEX(データベース!$F$2:$F$5,MATCH(Q65,データベース!$E$2:$E$5,0)))-1,5,1),0),))*10
+IF(V65="",0,INDEX(データベース!$D$56:$D$62,MATCH(V65,OFFSET(データベース!$A$56,0,IF(Q65="",0,INDEX(データベース!$F$2:$F$5,MATCH(Q65,データベース!$E$2:$E$5,0)))-1,7,1),0),))</f>
        <v>0</v>
      </c>
      <c r="Y65">
        <f>IF(X65="",0,INDEX(データベース!$H$2:$H$4,MATCH(X65,データベース!$G$2:$G$4,0)))</f>
        <v>0</v>
      </c>
      <c r="AB65" s="9" t="str">
        <f t="shared" si="4"/>
        <v>服装・</v>
      </c>
      <c r="AD65" s="9" t="str">
        <f t="shared" si="5"/>
        <v>感情・</v>
      </c>
      <c r="AF65" s="9" cm="1">
        <f t="array" aca="1" ref="AF65" ca="1">IF(Z65="",0,INDEX(データベース!$F$2:$F$5,MATCH(Z65,データベース!$E$2:$E$5,0)))*1000
+IF(AA65="",0,INDEX(データベース!$D$41:$D$44,MATCH(AA65,OFFSET(データベース!$A$41,0,IF(Z65="",0,INDEX(データベース!$F$2:$F$5,MATCH(Z65,データベース!$E$2:$E$5,0)))-1,4,1),0),))*100
+IF(AC65="",0,INDEX(データベース!$D$48:$D$52,MATCH(AC65,OFFSET(データベース!$A$48,0,IF(Z65="",0,INDEX(データベース!$F$2:$F$5,MATCH(Z65,データベース!$E$2:$E$5,0)))-1,5,1),0),))*10
+IF(AE65="",0,INDEX(データベース!$D$56:$D$62,MATCH(AE65,OFFSET(データベース!$A$56,0,IF(Z65="",0,INDEX(データベース!$F$2:$F$5,MATCH(Z65,データベース!$E$2:$E$5,0)))-1,7,1),0),))</f>
        <v>0</v>
      </c>
      <c r="AH65">
        <f>IF(AG65="",0,INDEX(データベース!$H$2:$H$4,MATCH(AG65,データベース!$G$2:$G$4,0)))</f>
        <v>0</v>
      </c>
      <c r="AJ65">
        <f>IF(AI65="",0,INDEX(データベース!J$2:J$2,MATCH(AI65,データベース!I$2:I$2,0)))</f>
        <v>0</v>
      </c>
      <c r="AL65">
        <f>IF(AK65="",0,INDEX(データベース!L$2:L$3,MATCH(AK65,データベース!K$2:K$3,0)))</f>
        <v>0</v>
      </c>
      <c r="AN65">
        <f>IF(AM65="",0,INDEX(データベース!N$2:N$5,MATCH(AM65,データベース!M$2:M$5,0)))</f>
        <v>0</v>
      </c>
      <c r="AO65" s="4"/>
      <c r="AP65">
        <f>IF(AO65="",0,INDEX(データベース!P$2:P$3,MATCH(AO65,データベース!O$2:O$3,0)))</f>
        <v>0</v>
      </c>
      <c r="AR65">
        <f>IF(AQ65="",0,INDEX(データベース!R$2:R$27,MATCH(AQ65,データベース!Q$2:Q$27,0)))</f>
        <v>0</v>
      </c>
      <c r="AT65">
        <f>IF(AS65="",0,INDEX(データベース!T$2:T$4,MATCH(AS65,データベース!S$2:S$4,0)))</f>
        <v>0</v>
      </c>
      <c r="AV65">
        <f>IF(AU65="",0,INDEX(データベース!V$2:V$37,MATCH(AU65,データベース!U$2:U$37,0)))</f>
        <v>0</v>
      </c>
      <c r="AX65">
        <v>0</v>
      </c>
      <c r="AZ65">
        <v>0</v>
      </c>
      <c r="BB65">
        <v>0</v>
      </c>
    </row>
    <row r="66" spans="2:54">
      <c r="B66">
        <v>0</v>
      </c>
      <c r="G66">
        <f>IF(F66="",0,INDEX(データベース!D$2:D$4,MATCH(F66,データベース!C$2:C$4,0)))</f>
        <v>0</v>
      </c>
      <c r="J66" s="19" t="str">
        <f t="shared" si="0"/>
        <v>服装・</v>
      </c>
      <c r="L66" s="19" t="str">
        <f t="shared" si="1"/>
        <v>感情・</v>
      </c>
      <c r="N66" s="19" cm="1">
        <f t="array" aca="1" ref="N66" ca="1">IF(H66="",0,INDEX(データベース!$F$2:$F$5,MATCH(H66,データベース!$E$2:$E$5,0)))*1000
+IF(I66="",0,INDEX(データベース!$D$41:$D$44,MATCH(I66,OFFSET(データベース!$A$41,0,IF(H66="",0,INDEX(データベース!$F$2:$F$5,MATCH(H66,データベース!$E$2:$E$5,0)))-1,4,1),0),))*100
+IF(K66="",0,INDEX(データベース!$D$48:$D$52,MATCH(K66,OFFSET(データベース!$A$48,0,IF(H66="",0,INDEX(データベース!$F$2:$F$5,MATCH(H66,データベース!$E$2:$E$5,0)))-1,5,1),0),))*10
+IF(M66="",0,INDEX(データベース!$D$56:$D$62,MATCH(M66,OFFSET(データベース!$A$56,0,IF(H66="",0,INDEX(データベース!$F$2:$F$5,MATCH(H66,データベース!$E$2:$E$5,0)))-1,7,1),0),))</f>
        <v>0</v>
      </c>
      <c r="P66">
        <f>IF(O66="",0,INDEX(データベース!$H$2:$H$4,MATCH(O66,データベース!$G$2:$G$4,0)))</f>
        <v>0</v>
      </c>
      <c r="S66" s="18" t="str">
        <f t="shared" si="2"/>
        <v>服装・</v>
      </c>
      <c r="U66" s="18" t="str">
        <f t="shared" si="3"/>
        <v>感情・</v>
      </c>
      <c r="W66" s="18" cm="1">
        <f t="array" aca="1" ref="W66" ca="1">IF(Q66="",0,INDEX(データベース!$F$2:$F$5,MATCH(Q66,データベース!$E$2:$E$5,0)))*1000
+IF(R66="",0,INDEX(データベース!$D$41:$D$44,MATCH(R66,OFFSET(データベース!$A$41,0,IF(Q66="",0,INDEX(データベース!$F$2:$F$5,MATCH(Q66,データベース!$E$2:$E$5,0)))-1,4,1),0),))*100
+IF(T66="",0,INDEX(データベース!$D$48:$D$52,MATCH(T66,OFFSET(データベース!$A$48,0,IF(Q66="",0,INDEX(データベース!$F$2:$F$5,MATCH(Q66,データベース!$E$2:$E$5,0)))-1,5,1),0),))*10
+IF(V66="",0,INDEX(データベース!$D$56:$D$62,MATCH(V66,OFFSET(データベース!$A$56,0,IF(Q66="",0,INDEX(データベース!$F$2:$F$5,MATCH(Q66,データベース!$E$2:$E$5,0)))-1,7,1),0),))</f>
        <v>0</v>
      </c>
      <c r="Y66">
        <f>IF(X66="",0,INDEX(データベース!$H$2:$H$4,MATCH(X66,データベース!$G$2:$G$4,0)))</f>
        <v>0</v>
      </c>
      <c r="AB66" s="9" t="str">
        <f t="shared" si="4"/>
        <v>服装・</v>
      </c>
      <c r="AD66" s="9" t="str">
        <f t="shared" si="5"/>
        <v>感情・</v>
      </c>
      <c r="AF66" s="9" cm="1">
        <f t="array" aca="1" ref="AF66" ca="1">IF(Z66="",0,INDEX(データベース!$F$2:$F$5,MATCH(Z66,データベース!$E$2:$E$5,0)))*1000
+IF(AA66="",0,INDEX(データベース!$D$41:$D$44,MATCH(AA66,OFFSET(データベース!$A$41,0,IF(Z66="",0,INDEX(データベース!$F$2:$F$5,MATCH(Z66,データベース!$E$2:$E$5,0)))-1,4,1),0),))*100
+IF(AC66="",0,INDEX(データベース!$D$48:$D$52,MATCH(AC66,OFFSET(データベース!$A$48,0,IF(Z66="",0,INDEX(データベース!$F$2:$F$5,MATCH(Z66,データベース!$E$2:$E$5,0)))-1,5,1),0),))*10
+IF(AE66="",0,INDEX(データベース!$D$56:$D$62,MATCH(AE66,OFFSET(データベース!$A$56,0,IF(Z66="",0,INDEX(データベース!$F$2:$F$5,MATCH(Z66,データベース!$E$2:$E$5,0)))-1,7,1),0),))</f>
        <v>0</v>
      </c>
      <c r="AH66">
        <f>IF(AG66="",0,INDEX(データベース!$H$2:$H$4,MATCH(AG66,データベース!$G$2:$G$4,0)))</f>
        <v>0</v>
      </c>
      <c r="AJ66">
        <f>IF(AI66="",0,INDEX(データベース!J$2:J$2,MATCH(AI66,データベース!I$2:I$2,0)))</f>
        <v>0</v>
      </c>
      <c r="AL66">
        <f>IF(AK66="",0,INDEX(データベース!L$2:L$3,MATCH(AK66,データベース!K$2:K$3,0)))</f>
        <v>0</v>
      </c>
      <c r="AN66">
        <f>IF(AM66="",0,INDEX(データベース!N$2:N$5,MATCH(AM66,データベース!M$2:M$5,0)))</f>
        <v>0</v>
      </c>
      <c r="AO66" s="4"/>
      <c r="AP66">
        <f>IF(AO66="",0,INDEX(データベース!P$2:P$3,MATCH(AO66,データベース!O$2:O$3,0)))</f>
        <v>0</v>
      </c>
      <c r="AR66">
        <f>IF(AQ66="",0,INDEX(データベース!R$2:R$27,MATCH(AQ66,データベース!Q$2:Q$27,0)))</f>
        <v>0</v>
      </c>
      <c r="AT66">
        <f>IF(AS66="",0,INDEX(データベース!T$2:T$4,MATCH(AS66,データベース!S$2:S$4,0)))</f>
        <v>0</v>
      </c>
      <c r="AV66">
        <f>IF(AU66="",0,INDEX(データベース!V$2:V$37,MATCH(AU66,データベース!U$2:U$37,0)))</f>
        <v>0</v>
      </c>
      <c r="AX66">
        <v>0</v>
      </c>
      <c r="AZ66">
        <v>0</v>
      </c>
      <c r="BB66">
        <v>0</v>
      </c>
    </row>
    <row r="67" spans="2:54">
      <c r="B67">
        <v>0</v>
      </c>
      <c r="G67">
        <f>IF(F67="",0,INDEX(データベース!D$2:D$4,MATCH(F67,データベース!C$2:C$4,0)))</f>
        <v>0</v>
      </c>
      <c r="J67" s="19" t="str">
        <f t="shared" ref="J67:J129" si="6">"服装・" &amp; H67</f>
        <v>服装・</v>
      </c>
      <c r="L67" s="19" t="str">
        <f t="shared" ref="L67:L129" si="7">"感情・" &amp; H67</f>
        <v>感情・</v>
      </c>
      <c r="N67" s="19" cm="1">
        <f t="array" aca="1" ref="N67" ca="1">IF(H67="",0,INDEX(データベース!$F$2:$F$5,MATCH(H67,データベース!$E$2:$E$5,0)))*1000
+IF(I67="",0,INDEX(データベース!$D$41:$D$44,MATCH(I67,OFFSET(データベース!$A$41,0,IF(H67="",0,INDEX(データベース!$F$2:$F$5,MATCH(H67,データベース!$E$2:$E$5,0)))-1,4,1),0),))*100
+IF(K67="",0,INDEX(データベース!$D$48:$D$52,MATCH(K67,OFFSET(データベース!$A$48,0,IF(H67="",0,INDEX(データベース!$F$2:$F$5,MATCH(H67,データベース!$E$2:$E$5,0)))-1,5,1),0),))*10
+IF(M67="",0,INDEX(データベース!$D$56:$D$62,MATCH(M67,OFFSET(データベース!$A$56,0,IF(H67="",0,INDEX(データベース!$F$2:$F$5,MATCH(H67,データベース!$E$2:$E$5,0)))-1,7,1),0),))</f>
        <v>0</v>
      </c>
      <c r="P67">
        <f>IF(O67="",0,INDEX(データベース!$H$2:$H$4,MATCH(O67,データベース!$G$2:$G$4,0)))</f>
        <v>0</v>
      </c>
      <c r="S67" s="18" t="str">
        <f t="shared" ref="S67:S129" si="8">"服装・" &amp; Q67</f>
        <v>服装・</v>
      </c>
      <c r="U67" s="18" t="str">
        <f t="shared" ref="U67:U129" si="9">"感情・" &amp; Q67</f>
        <v>感情・</v>
      </c>
      <c r="W67" s="18" cm="1">
        <f t="array" aca="1" ref="W67" ca="1">IF(Q67="",0,INDEX(データベース!$F$2:$F$5,MATCH(Q67,データベース!$E$2:$E$5,0)))*1000
+IF(R67="",0,INDEX(データベース!$D$41:$D$44,MATCH(R67,OFFSET(データベース!$A$41,0,IF(Q67="",0,INDEX(データベース!$F$2:$F$5,MATCH(Q67,データベース!$E$2:$E$5,0)))-1,4,1),0),))*100
+IF(T67="",0,INDEX(データベース!$D$48:$D$52,MATCH(T67,OFFSET(データベース!$A$48,0,IF(Q67="",0,INDEX(データベース!$F$2:$F$5,MATCH(Q67,データベース!$E$2:$E$5,0)))-1,5,1),0),))*10
+IF(V67="",0,INDEX(データベース!$D$56:$D$62,MATCH(V67,OFFSET(データベース!$A$56,0,IF(Q67="",0,INDEX(データベース!$F$2:$F$5,MATCH(Q67,データベース!$E$2:$E$5,0)))-1,7,1),0),))</f>
        <v>0</v>
      </c>
      <c r="Y67">
        <f>IF(X67="",0,INDEX(データベース!$H$2:$H$4,MATCH(X67,データベース!$G$2:$G$4,0)))</f>
        <v>0</v>
      </c>
      <c r="AB67" s="9" t="str">
        <f t="shared" ref="AB67:AB129" si="10">"服装・" &amp; Z67</f>
        <v>服装・</v>
      </c>
      <c r="AD67" s="9" t="str">
        <f t="shared" ref="AD67:AD129" si="11">"感情・" &amp; Z67</f>
        <v>感情・</v>
      </c>
      <c r="AF67" s="9" cm="1">
        <f t="array" aca="1" ref="AF67" ca="1">IF(Z67="",0,INDEX(データベース!$F$2:$F$5,MATCH(Z67,データベース!$E$2:$E$5,0)))*1000
+IF(AA67="",0,INDEX(データベース!$D$41:$D$44,MATCH(AA67,OFFSET(データベース!$A$41,0,IF(Z67="",0,INDEX(データベース!$F$2:$F$5,MATCH(Z67,データベース!$E$2:$E$5,0)))-1,4,1),0),))*100
+IF(AC67="",0,INDEX(データベース!$D$48:$D$52,MATCH(AC67,OFFSET(データベース!$A$48,0,IF(Z67="",0,INDEX(データベース!$F$2:$F$5,MATCH(Z67,データベース!$E$2:$E$5,0)))-1,5,1),0),))*10
+IF(AE67="",0,INDEX(データベース!$D$56:$D$62,MATCH(AE67,OFFSET(データベース!$A$56,0,IF(Z67="",0,INDEX(データベース!$F$2:$F$5,MATCH(Z67,データベース!$E$2:$E$5,0)))-1,7,1),0),))</f>
        <v>0</v>
      </c>
      <c r="AH67">
        <f>IF(AG67="",0,INDEX(データベース!$H$2:$H$4,MATCH(AG67,データベース!$G$2:$G$4,0)))</f>
        <v>0</v>
      </c>
      <c r="AJ67">
        <f>IF(AI67="",0,INDEX(データベース!J$2:J$2,MATCH(AI67,データベース!I$2:I$2,0)))</f>
        <v>0</v>
      </c>
      <c r="AL67">
        <f>IF(AK67="",0,INDEX(データベース!L$2:L$3,MATCH(AK67,データベース!K$2:K$3,0)))</f>
        <v>0</v>
      </c>
      <c r="AN67">
        <f>IF(AM67="",0,INDEX(データベース!N$2:N$5,MATCH(AM67,データベース!M$2:M$5,0)))</f>
        <v>0</v>
      </c>
      <c r="AO67" s="4"/>
      <c r="AP67">
        <f>IF(AO67="",0,INDEX(データベース!P$2:P$3,MATCH(AO67,データベース!O$2:O$3,0)))</f>
        <v>0</v>
      </c>
      <c r="AR67">
        <f>IF(AQ67="",0,INDEX(データベース!R$2:R$27,MATCH(AQ67,データベース!Q$2:Q$27,0)))</f>
        <v>0</v>
      </c>
      <c r="AT67">
        <f>IF(AS67="",0,INDEX(データベース!T$2:T$4,MATCH(AS67,データベース!S$2:S$4,0)))</f>
        <v>0</v>
      </c>
      <c r="AV67">
        <f>IF(AU67="",0,INDEX(データベース!V$2:V$37,MATCH(AU67,データベース!U$2:U$37,0)))</f>
        <v>0</v>
      </c>
      <c r="AX67">
        <v>0</v>
      </c>
      <c r="AZ67">
        <v>0</v>
      </c>
      <c r="BB67">
        <v>0</v>
      </c>
    </row>
    <row r="68" spans="2:54">
      <c r="B68">
        <v>0</v>
      </c>
      <c r="G68">
        <f>IF(F68="",0,INDEX(データベース!D$2:D$4,MATCH(F68,データベース!C$2:C$4,0)))</f>
        <v>0</v>
      </c>
      <c r="J68" s="19" t="str">
        <f t="shared" si="6"/>
        <v>服装・</v>
      </c>
      <c r="L68" s="19" t="str">
        <f t="shared" si="7"/>
        <v>感情・</v>
      </c>
      <c r="N68" s="19" cm="1">
        <f t="array" aca="1" ref="N68" ca="1">IF(H68="",0,INDEX(データベース!$F$2:$F$5,MATCH(H68,データベース!$E$2:$E$5,0)))*1000
+IF(I68="",0,INDEX(データベース!$D$41:$D$44,MATCH(I68,OFFSET(データベース!$A$41,0,IF(H68="",0,INDEX(データベース!$F$2:$F$5,MATCH(H68,データベース!$E$2:$E$5,0)))-1,4,1),0),))*100
+IF(K68="",0,INDEX(データベース!$D$48:$D$52,MATCH(K68,OFFSET(データベース!$A$48,0,IF(H68="",0,INDEX(データベース!$F$2:$F$5,MATCH(H68,データベース!$E$2:$E$5,0)))-1,5,1),0),))*10
+IF(M68="",0,INDEX(データベース!$D$56:$D$62,MATCH(M68,OFFSET(データベース!$A$56,0,IF(H68="",0,INDEX(データベース!$F$2:$F$5,MATCH(H68,データベース!$E$2:$E$5,0)))-1,7,1),0),))</f>
        <v>0</v>
      </c>
      <c r="P68">
        <f>IF(O68="",0,INDEX(データベース!$H$2:$H$4,MATCH(O68,データベース!$G$2:$G$4,0)))</f>
        <v>0</v>
      </c>
      <c r="S68" s="18" t="str">
        <f t="shared" si="8"/>
        <v>服装・</v>
      </c>
      <c r="U68" s="18" t="str">
        <f t="shared" si="9"/>
        <v>感情・</v>
      </c>
      <c r="W68" s="18" cm="1">
        <f t="array" aca="1" ref="W68" ca="1">IF(Q68="",0,INDEX(データベース!$F$2:$F$5,MATCH(Q68,データベース!$E$2:$E$5,0)))*1000
+IF(R68="",0,INDEX(データベース!$D$41:$D$44,MATCH(R68,OFFSET(データベース!$A$41,0,IF(Q68="",0,INDEX(データベース!$F$2:$F$5,MATCH(Q68,データベース!$E$2:$E$5,0)))-1,4,1),0),))*100
+IF(T68="",0,INDEX(データベース!$D$48:$D$52,MATCH(T68,OFFSET(データベース!$A$48,0,IF(Q68="",0,INDEX(データベース!$F$2:$F$5,MATCH(Q68,データベース!$E$2:$E$5,0)))-1,5,1),0),))*10
+IF(V68="",0,INDEX(データベース!$D$56:$D$62,MATCH(V68,OFFSET(データベース!$A$56,0,IF(Q68="",0,INDEX(データベース!$F$2:$F$5,MATCH(Q68,データベース!$E$2:$E$5,0)))-1,7,1),0),))</f>
        <v>0</v>
      </c>
      <c r="Y68">
        <f>IF(X68="",0,INDEX(データベース!$H$2:$H$4,MATCH(X68,データベース!$G$2:$G$4,0)))</f>
        <v>0</v>
      </c>
      <c r="AB68" s="9" t="str">
        <f t="shared" si="10"/>
        <v>服装・</v>
      </c>
      <c r="AD68" s="9" t="str">
        <f t="shared" si="11"/>
        <v>感情・</v>
      </c>
      <c r="AF68" s="9" cm="1">
        <f t="array" aca="1" ref="AF68" ca="1">IF(Z68="",0,INDEX(データベース!$F$2:$F$5,MATCH(Z68,データベース!$E$2:$E$5,0)))*1000
+IF(AA68="",0,INDEX(データベース!$D$41:$D$44,MATCH(AA68,OFFSET(データベース!$A$41,0,IF(Z68="",0,INDEX(データベース!$F$2:$F$5,MATCH(Z68,データベース!$E$2:$E$5,0)))-1,4,1),0),))*100
+IF(AC68="",0,INDEX(データベース!$D$48:$D$52,MATCH(AC68,OFFSET(データベース!$A$48,0,IF(Z68="",0,INDEX(データベース!$F$2:$F$5,MATCH(Z68,データベース!$E$2:$E$5,0)))-1,5,1),0),))*10
+IF(AE68="",0,INDEX(データベース!$D$56:$D$62,MATCH(AE68,OFFSET(データベース!$A$56,0,IF(Z68="",0,INDEX(データベース!$F$2:$F$5,MATCH(Z68,データベース!$E$2:$E$5,0)))-1,7,1),0),))</f>
        <v>0</v>
      </c>
      <c r="AH68">
        <f>IF(AG68="",0,INDEX(データベース!$H$2:$H$4,MATCH(AG68,データベース!$G$2:$G$4,0)))</f>
        <v>0</v>
      </c>
      <c r="AJ68">
        <f>IF(AI68="",0,INDEX(データベース!J$2:J$2,MATCH(AI68,データベース!I$2:I$2,0)))</f>
        <v>0</v>
      </c>
      <c r="AL68">
        <f>IF(AK68="",0,INDEX(データベース!L$2:L$3,MATCH(AK68,データベース!K$2:K$3,0)))</f>
        <v>0</v>
      </c>
      <c r="AN68">
        <f>IF(AM68="",0,INDEX(データベース!N$2:N$5,MATCH(AM68,データベース!M$2:M$5,0)))</f>
        <v>0</v>
      </c>
      <c r="AO68" s="4"/>
      <c r="AP68">
        <f>IF(AO68="",0,INDEX(データベース!P$2:P$3,MATCH(AO68,データベース!O$2:O$3,0)))</f>
        <v>0</v>
      </c>
      <c r="AR68">
        <f>IF(AQ68="",0,INDEX(データベース!R$2:R$27,MATCH(AQ68,データベース!Q$2:Q$27,0)))</f>
        <v>0</v>
      </c>
      <c r="AT68">
        <f>IF(AS68="",0,INDEX(データベース!T$2:T$4,MATCH(AS68,データベース!S$2:S$4,0)))</f>
        <v>0</v>
      </c>
      <c r="AV68">
        <f>IF(AU68="",0,INDEX(データベース!V$2:V$37,MATCH(AU68,データベース!U$2:U$37,0)))</f>
        <v>0</v>
      </c>
      <c r="AX68">
        <v>0</v>
      </c>
      <c r="AZ68">
        <v>0</v>
      </c>
      <c r="BB68">
        <v>0</v>
      </c>
    </row>
    <row r="69" spans="2:54">
      <c r="B69">
        <v>0</v>
      </c>
      <c r="G69">
        <f>IF(F69="",0,INDEX(データベース!D$2:D$4,MATCH(F69,データベース!C$2:C$4,0)))</f>
        <v>0</v>
      </c>
      <c r="J69" s="19" t="str">
        <f t="shared" si="6"/>
        <v>服装・</v>
      </c>
      <c r="L69" s="19" t="str">
        <f t="shared" si="7"/>
        <v>感情・</v>
      </c>
      <c r="N69" s="19" cm="1">
        <f t="array" aca="1" ref="N69" ca="1">IF(H69="",0,INDEX(データベース!$F$2:$F$5,MATCH(H69,データベース!$E$2:$E$5,0)))*1000
+IF(I69="",0,INDEX(データベース!$D$41:$D$44,MATCH(I69,OFFSET(データベース!$A$41,0,IF(H69="",0,INDEX(データベース!$F$2:$F$5,MATCH(H69,データベース!$E$2:$E$5,0)))-1,4,1),0),))*100
+IF(K69="",0,INDEX(データベース!$D$48:$D$52,MATCH(K69,OFFSET(データベース!$A$48,0,IF(H69="",0,INDEX(データベース!$F$2:$F$5,MATCH(H69,データベース!$E$2:$E$5,0)))-1,5,1),0),))*10
+IF(M69="",0,INDEX(データベース!$D$56:$D$62,MATCH(M69,OFFSET(データベース!$A$56,0,IF(H69="",0,INDEX(データベース!$F$2:$F$5,MATCH(H69,データベース!$E$2:$E$5,0)))-1,7,1),0),))</f>
        <v>0</v>
      </c>
      <c r="P69">
        <f>IF(O69="",0,INDEX(データベース!$H$2:$H$4,MATCH(O69,データベース!$G$2:$G$4,0)))</f>
        <v>0</v>
      </c>
      <c r="S69" s="18" t="str">
        <f t="shared" si="8"/>
        <v>服装・</v>
      </c>
      <c r="U69" s="18" t="str">
        <f t="shared" si="9"/>
        <v>感情・</v>
      </c>
      <c r="W69" s="18" cm="1">
        <f t="array" aca="1" ref="W69" ca="1">IF(Q69="",0,INDEX(データベース!$F$2:$F$5,MATCH(Q69,データベース!$E$2:$E$5,0)))*1000
+IF(R69="",0,INDEX(データベース!$D$41:$D$44,MATCH(R69,OFFSET(データベース!$A$41,0,IF(Q69="",0,INDEX(データベース!$F$2:$F$5,MATCH(Q69,データベース!$E$2:$E$5,0)))-1,4,1),0),))*100
+IF(T69="",0,INDEX(データベース!$D$48:$D$52,MATCH(T69,OFFSET(データベース!$A$48,0,IF(Q69="",0,INDEX(データベース!$F$2:$F$5,MATCH(Q69,データベース!$E$2:$E$5,0)))-1,5,1),0),))*10
+IF(V69="",0,INDEX(データベース!$D$56:$D$62,MATCH(V69,OFFSET(データベース!$A$56,0,IF(Q69="",0,INDEX(データベース!$F$2:$F$5,MATCH(Q69,データベース!$E$2:$E$5,0)))-1,7,1),0),))</f>
        <v>0</v>
      </c>
      <c r="Y69">
        <f>IF(X69="",0,INDEX(データベース!$H$2:$H$4,MATCH(X69,データベース!$G$2:$G$4,0)))</f>
        <v>0</v>
      </c>
      <c r="AB69" s="9" t="str">
        <f t="shared" si="10"/>
        <v>服装・</v>
      </c>
      <c r="AD69" s="9" t="str">
        <f t="shared" si="11"/>
        <v>感情・</v>
      </c>
      <c r="AF69" s="9" cm="1">
        <f t="array" aca="1" ref="AF69" ca="1">IF(Z69="",0,INDEX(データベース!$F$2:$F$5,MATCH(Z69,データベース!$E$2:$E$5,0)))*1000
+IF(AA69="",0,INDEX(データベース!$D$41:$D$44,MATCH(AA69,OFFSET(データベース!$A$41,0,IF(Z69="",0,INDEX(データベース!$F$2:$F$5,MATCH(Z69,データベース!$E$2:$E$5,0)))-1,4,1),0),))*100
+IF(AC69="",0,INDEX(データベース!$D$48:$D$52,MATCH(AC69,OFFSET(データベース!$A$48,0,IF(Z69="",0,INDEX(データベース!$F$2:$F$5,MATCH(Z69,データベース!$E$2:$E$5,0)))-1,5,1),0),))*10
+IF(AE69="",0,INDEX(データベース!$D$56:$D$62,MATCH(AE69,OFFSET(データベース!$A$56,0,IF(Z69="",0,INDEX(データベース!$F$2:$F$5,MATCH(Z69,データベース!$E$2:$E$5,0)))-1,7,1),0),))</f>
        <v>0</v>
      </c>
      <c r="AH69">
        <f>IF(AG69="",0,INDEX(データベース!$H$2:$H$4,MATCH(AG69,データベース!$G$2:$G$4,0)))</f>
        <v>0</v>
      </c>
      <c r="AJ69">
        <f>IF(AI69="",0,INDEX(データベース!J$2:J$2,MATCH(AI69,データベース!I$2:I$2,0)))</f>
        <v>0</v>
      </c>
      <c r="AL69">
        <f>IF(AK69="",0,INDEX(データベース!L$2:L$3,MATCH(AK69,データベース!K$2:K$3,0)))</f>
        <v>0</v>
      </c>
      <c r="AN69">
        <f>IF(AM69="",0,INDEX(データベース!N$2:N$5,MATCH(AM69,データベース!M$2:M$5,0)))</f>
        <v>0</v>
      </c>
      <c r="AO69" s="4"/>
      <c r="AP69">
        <f>IF(AO69="",0,INDEX(データベース!P$2:P$3,MATCH(AO69,データベース!O$2:O$3,0)))</f>
        <v>0</v>
      </c>
      <c r="AR69">
        <f>IF(AQ69="",0,INDEX(データベース!R$2:R$27,MATCH(AQ69,データベース!Q$2:Q$27,0)))</f>
        <v>0</v>
      </c>
      <c r="AT69">
        <f>IF(AS69="",0,INDEX(データベース!T$2:T$4,MATCH(AS69,データベース!S$2:S$4,0)))</f>
        <v>0</v>
      </c>
      <c r="AV69">
        <f>IF(AU69="",0,INDEX(データベース!V$2:V$37,MATCH(AU69,データベース!U$2:U$37,0)))</f>
        <v>0</v>
      </c>
      <c r="AX69">
        <v>0</v>
      </c>
      <c r="AZ69">
        <v>0</v>
      </c>
      <c r="BB69">
        <v>0</v>
      </c>
    </row>
    <row r="70" spans="2:54">
      <c r="B70">
        <v>0</v>
      </c>
      <c r="G70">
        <f>IF(F70="",0,INDEX(データベース!D$2:D$4,MATCH(F70,データベース!C$2:C$4,0)))</f>
        <v>0</v>
      </c>
      <c r="J70" s="19" t="str">
        <f t="shared" si="6"/>
        <v>服装・</v>
      </c>
      <c r="L70" s="19" t="str">
        <f t="shared" si="7"/>
        <v>感情・</v>
      </c>
      <c r="N70" s="19" cm="1">
        <f t="array" aca="1" ref="N70" ca="1">IF(H70="",0,INDEX(データベース!$F$2:$F$5,MATCH(H70,データベース!$E$2:$E$5,0)))*1000
+IF(I70="",0,INDEX(データベース!$D$41:$D$44,MATCH(I70,OFFSET(データベース!$A$41,0,IF(H70="",0,INDEX(データベース!$F$2:$F$5,MATCH(H70,データベース!$E$2:$E$5,0)))-1,4,1),0),))*100
+IF(K70="",0,INDEX(データベース!$D$48:$D$52,MATCH(K70,OFFSET(データベース!$A$48,0,IF(H70="",0,INDEX(データベース!$F$2:$F$5,MATCH(H70,データベース!$E$2:$E$5,0)))-1,5,1),0),))*10
+IF(M70="",0,INDEX(データベース!$D$56:$D$62,MATCH(M70,OFFSET(データベース!$A$56,0,IF(H70="",0,INDEX(データベース!$F$2:$F$5,MATCH(H70,データベース!$E$2:$E$5,0)))-1,7,1),0),))</f>
        <v>0</v>
      </c>
      <c r="P70">
        <f>IF(O70="",0,INDEX(データベース!$H$2:$H$4,MATCH(O70,データベース!$G$2:$G$4,0)))</f>
        <v>0</v>
      </c>
      <c r="S70" s="18" t="str">
        <f t="shared" si="8"/>
        <v>服装・</v>
      </c>
      <c r="U70" s="18" t="str">
        <f t="shared" si="9"/>
        <v>感情・</v>
      </c>
      <c r="W70" s="18" cm="1">
        <f t="array" aca="1" ref="W70" ca="1">IF(Q70="",0,INDEX(データベース!$F$2:$F$5,MATCH(Q70,データベース!$E$2:$E$5,0)))*1000
+IF(R70="",0,INDEX(データベース!$D$41:$D$44,MATCH(R70,OFFSET(データベース!$A$41,0,IF(Q70="",0,INDEX(データベース!$F$2:$F$5,MATCH(Q70,データベース!$E$2:$E$5,0)))-1,4,1),0),))*100
+IF(T70="",0,INDEX(データベース!$D$48:$D$52,MATCH(T70,OFFSET(データベース!$A$48,0,IF(Q70="",0,INDEX(データベース!$F$2:$F$5,MATCH(Q70,データベース!$E$2:$E$5,0)))-1,5,1),0),))*10
+IF(V70="",0,INDEX(データベース!$D$56:$D$62,MATCH(V70,OFFSET(データベース!$A$56,0,IF(Q70="",0,INDEX(データベース!$F$2:$F$5,MATCH(Q70,データベース!$E$2:$E$5,0)))-1,7,1),0),))</f>
        <v>0</v>
      </c>
      <c r="Y70">
        <f>IF(X70="",0,INDEX(データベース!$H$2:$H$4,MATCH(X70,データベース!$G$2:$G$4,0)))</f>
        <v>0</v>
      </c>
      <c r="AB70" s="9" t="str">
        <f t="shared" si="10"/>
        <v>服装・</v>
      </c>
      <c r="AD70" s="9" t="str">
        <f t="shared" si="11"/>
        <v>感情・</v>
      </c>
      <c r="AF70" s="9" cm="1">
        <f t="array" aca="1" ref="AF70" ca="1">IF(Z70="",0,INDEX(データベース!$F$2:$F$5,MATCH(Z70,データベース!$E$2:$E$5,0)))*1000
+IF(AA70="",0,INDEX(データベース!$D$41:$D$44,MATCH(AA70,OFFSET(データベース!$A$41,0,IF(Z70="",0,INDEX(データベース!$F$2:$F$5,MATCH(Z70,データベース!$E$2:$E$5,0)))-1,4,1),0),))*100
+IF(AC70="",0,INDEX(データベース!$D$48:$D$52,MATCH(AC70,OFFSET(データベース!$A$48,0,IF(Z70="",0,INDEX(データベース!$F$2:$F$5,MATCH(Z70,データベース!$E$2:$E$5,0)))-1,5,1),0),))*10
+IF(AE70="",0,INDEX(データベース!$D$56:$D$62,MATCH(AE70,OFFSET(データベース!$A$56,0,IF(Z70="",0,INDEX(データベース!$F$2:$F$5,MATCH(Z70,データベース!$E$2:$E$5,0)))-1,7,1),0),))</f>
        <v>0</v>
      </c>
      <c r="AH70">
        <f>IF(AG70="",0,INDEX(データベース!$H$2:$H$4,MATCH(AG70,データベース!$G$2:$G$4,0)))</f>
        <v>0</v>
      </c>
      <c r="AJ70">
        <f>IF(AI70="",0,INDEX(データベース!J$2:J$2,MATCH(AI70,データベース!I$2:I$2,0)))</f>
        <v>0</v>
      </c>
      <c r="AL70">
        <f>IF(AK70="",0,INDEX(データベース!L$2:L$3,MATCH(AK70,データベース!K$2:K$3,0)))</f>
        <v>0</v>
      </c>
      <c r="AN70">
        <f>IF(AM70="",0,INDEX(データベース!N$2:N$5,MATCH(AM70,データベース!M$2:M$5,0)))</f>
        <v>0</v>
      </c>
      <c r="AO70" s="4"/>
      <c r="AP70">
        <f>IF(AO70="",0,INDEX(データベース!P$2:P$3,MATCH(AO70,データベース!O$2:O$3,0)))</f>
        <v>0</v>
      </c>
      <c r="AR70">
        <f>IF(AQ70="",0,INDEX(データベース!R$2:R$27,MATCH(AQ70,データベース!Q$2:Q$27,0)))</f>
        <v>0</v>
      </c>
      <c r="AT70">
        <f>IF(AS70="",0,INDEX(データベース!T$2:T$4,MATCH(AS70,データベース!S$2:S$4,0)))</f>
        <v>0</v>
      </c>
      <c r="AV70">
        <f>IF(AU70="",0,INDEX(データベース!V$2:V$37,MATCH(AU70,データベース!U$2:U$37,0)))</f>
        <v>0</v>
      </c>
      <c r="AX70">
        <v>0</v>
      </c>
      <c r="AZ70">
        <v>0</v>
      </c>
      <c r="BB70">
        <v>0</v>
      </c>
    </row>
    <row r="71" spans="2:54">
      <c r="B71">
        <v>0</v>
      </c>
      <c r="G71">
        <f>IF(F71="",0,INDEX(データベース!D$2:D$4,MATCH(F71,データベース!C$2:C$4,0)))</f>
        <v>0</v>
      </c>
      <c r="J71" s="19" t="str">
        <f t="shared" si="6"/>
        <v>服装・</v>
      </c>
      <c r="L71" s="19" t="str">
        <f t="shared" si="7"/>
        <v>感情・</v>
      </c>
      <c r="N71" s="19" cm="1">
        <f t="array" aca="1" ref="N71" ca="1">IF(H71="",0,INDEX(データベース!$F$2:$F$5,MATCH(H71,データベース!$E$2:$E$5,0)))*1000
+IF(I71="",0,INDEX(データベース!$D$41:$D$44,MATCH(I71,OFFSET(データベース!$A$41,0,IF(H71="",0,INDEX(データベース!$F$2:$F$5,MATCH(H71,データベース!$E$2:$E$5,0)))-1,4,1),0),))*100
+IF(K71="",0,INDEX(データベース!$D$48:$D$52,MATCH(K71,OFFSET(データベース!$A$48,0,IF(H71="",0,INDEX(データベース!$F$2:$F$5,MATCH(H71,データベース!$E$2:$E$5,0)))-1,5,1),0),))*10
+IF(M71="",0,INDEX(データベース!$D$56:$D$62,MATCH(M71,OFFSET(データベース!$A$56,0,IF(H71="",0,INDEX(データベース!$F$2:$F$5,MATCH(H71,データベース!$E$2:$E$5,0)))-1,7,1),0),))</f>
        <v>0</v>
      </c>
      <c r="P71">
        <f>IF(O71="",0,INDEX(データベース!$H$2:$H$4,MATCH(O71,データベース!$G$2:$G$4,0)))</f>
        <v>0</v>
      </c>
      <c r="S71" s="18" t="str">
        <f t="shared" si="8"/>
        <v>服装・</v>
      </c>
      <c r="U71" s="18" t="str">
        <f t="shared" si="9"/>
        <v>感情・</v>
      </c>
      <c r="W71" s="18" cm="1">
        <f t="array" aca="1" ref="W71" ca="1">IF(Q71="",0,INDEX(データベース!$F$2:$F$5,MATCH(Q71,データベース!$E$2:$E$5,0)))*1000
+IF(R71="",0,INDEX(データベース!$D$41:$D$44,MATCH(R71,OFFSET(データベース!$A$41,0,IF(Q71="",0,INDEX(データベース!$F$2:$F$5,MATCH(Q71,データベース!$E$2:$E$5,0)))-1,4,1),0),))*100
+IF(T71="",0,INDEX(データベース!$D$48:$D$52,MATCH(T71,OFFSET(データベース!$A$48,0,IF(Q71="",0,INDEX(データベース!$F$2:$F$5,MATCH(Q71,データベース!$E$2:$E$5,0)))-1,5,1),0),))*10
+IF(V71="",0,INDEX(データベース!$D$56:$D$62,MATCH(V71,OFFSET(データベース!$A$56,0,IF(Q71="",0,INDEX(データベース!$F$2:$F$5,MATCH(Q71,データベース!$E$2:$E$5,0)))-1,7,1),0),))</f>
        <v>0</v>
      </c>
      <c r="Y71">
        <f>IF(X71="",0,INDEX(データベース!$H$2:$H$4,MATCH(X71,データベース!$G$2:$G$4,0)))</f>
        <v>0</v>
      </c>
      <c r="AB71" s="9" t="str">
        <f t="shared" si="10"/>
        <v>服装・</v>
      </c>
      <c r="AD71" s="9" t="str">
        <f t="shared" si="11"/>
        <v>感情・</v>
      </c>
      <c r="AF71" s="9" cm="1">
        <f t="array" aca="1" ref="AF71" ca="1">IF(Z71="",0,INDEX(データベース!$F$2:$F$5,MATCH(Z71,データベース!$E$2:$E$5,0)))*1000
+IF(AA71="",0,INDEX(データベース!$D$41:$D$44,MATCH(AA71,OFFSET(データベース!$A$41,0,IF(Z71="",0,INDEX(データベース!$F$2:$F$5,MATCH(Z71,データベース!$E$2:$E$5,0)))-1,4,1),0),))*100
+IF(AC71="",0,INDEX(データベース!$D$48:$D$52,MATCH(AC71,OFFSET(データベース!$A$48,0,IF(Z71="",0,INDEX(データベース!$F$2:$F$5,MATCH(Z71,データベース!$E$2:$E$5,0)))-1,5,1),0),))*10
+IF(AE71="",0,INDEX(データベース!$D$56:$D$62,MATCH(AE71,OFFSET(データベース!$A$56,0,IF(Z71="",0,INDEX(データベース!$F$2:$F$5,MATCH(Z71,データベース!$E$2:$E$5,0)))-1,7,1),0),))</f>
        <v>0</v>
      </c>
      <c r="AH71">
        <f>IF(AG71="",0,INDEX(データベース!$H$2:$H$4,MATCH(AG71,データベース!$G$2:$G$4,0)))</f>
        <v>0</v>
      </c>
      <c r="AJ71">
        <f>IF(AI71="",0,INDEX(データベース!J$2:J$2,MATCH(AI71,データベース!I$2:I$2,0)))</f>
        <v>0</v>
      </c>
      <c r="AL71">
        <f>IF(AK71="",0,INDEX(データベース!L$2:L$3,MATCH(AK71,データベース!K$2:K$3,0)))</f>
        <v>0</v>
      </c>
      <c r="AN71">
        <f>IF(AM71="",0,INDEX(データベース!N$2:N$5,MATCH(AM71,データベース!M$2:M$5,0)))</f>
        <v>0</v>
      </c>
      <c r="AO71" s="4"/>
      <c r="AP71">
        <f>IF(AO71="",0,INDEX(データベース!P$2:P$3,MATCH(AO71,データベース!O$2:O$3,0)))</f>
        <v>0</v>
      </c>
      <c r="AR71">
        <f>IF(AQ71="",0,INDEX(データベース!R$2:R$27,MATCH(AQ71,データベース!Q$2:Q$27,0)))</f>
        <v>0</v>
      </c>
      <c r="AT71">
        <f>IF(AS71="",0,INDEX(データベース!T$2:T$4,MATCH(AS71,データベース!S$2:S$4,0)))</f>
        <v>0</v>
      </c>
      <c r="AV71">
        <f>IF(AU71="",0,INDEX(データベース!V$2:V$37,MATCH(AU71,データベース!U$2:U$37,0)))</f>
        <v>0</v>
      </c>
      <c r="AX71">
        <v>0</v>
      </c>
      <c r="AZ71">
        <v>0</v>
      </c>
      <c r="BB71">
        <v>0</v>
      </c>
    </row>
    <row r="72" spans="2:54">
      <c r="B72">
        <v>0</v>
      </c>
      <c r="G72">
        <f>IF(F72="",0,INDEX(データベース!D$2:D$4,MATCH(F72,データベース!C$2:C$4,0)))</f>
        <v>0</v>
      </c>
      <c r="J72" s="19" t="str">
        <f t="shared" si="6"/>
        <v>服装・</v>
      </c>
      <c r="L72" s="19" t="str">
        <f t="shared" si="7"/>
        <v>感情・</v>
      </c>
      <c r="N72" s="19" cm="1">
        <f t="array" aca="1" ref="N72" ca="1">IF(H72="",0,INDEX(データベース!$F$2:$F$5,MATCH(H72,データベース!$E$2:$E$5,0)))*1000
+IF(I72="",0,INDEX(データベース!$D$41:$D$44,MATCH(I72,OFFSET(データベース!$A$41,0,IF(H72="",0,INDEX(データベース!$F$2:$F$5,MATCH(H72,データベース!$E$2:$E$5,0)))-1,4,1),0),))*100
+IF(K72="",0,INDEX(データベース!$D$48:$D$52,MATCH(K72,OFFSET(データベース!$A$48,0,IF(H72="",0,INDEX(データベース!$F$2:$F$5,MATCH(H72,データベース!$E$2:$E$5,0)))-1,5,1),0),))*10
+IF(M72="",0,INDEX(データベース!$D$56:$D$62,MATCH(M72,OFFSET(データベース!$A$56,0,IF(H72="",0,INDEX(データベース!$F$2:$F$5,MATCH(H72,データベース!$E$2:$E$5,0)))-1,7,1),0),))</f>
        <v>0</v>
      </c>
      <c r="P72">
        <f>IF(O72="",0,INDEX(データベース!$H$2:$H$4,MATCH(O72,データベース!$G$2:$G$4,0)))</f>
        <v>0</v>
      </c>
      <c r="S72" s="18" t="str">
        <f t="shared" si="8"/>
        <v>服装・</v>
      </c>
      <c r="U72" s="18" t="str">
        <f t="shared" si="9"/>
        <v>感情・</v>
      </c>
      <c r="W72" s="18" cm="1">
        <f t="array" aca="1" ref="W72" ca="1">IF(Q72="",0,INDEX(データベース!$F$2:$F$5,MATCH(Q72,データベース!$E$2:$E$5,0)))*1000
+IF(R72="",0,INDEX(データベース!$D$41:$D$44,MATCH(R72,OFFSET(データベース!$A$41,0,IF(Q72="",0,INDEX(データベース!$F$2:$F$5,MATCH(Q72,データベース!$E$2:$E$5,0)))-1,4,1),0),))*100
+IF(T72="",0,INDEX(データベース!$D$48:$D$52,MATCH(T72,OFFSET(データベース!$A$48,0,IF(Q72="",0,INDEX(データベース!$F$2:$F$5,MATCH(Q72,データベース!$E$2:$E$5,0)))-1,5,1),0),))*10
+IF(V72="",0,INDEX(データベース!$D$56:$D$62,MATCH(V72,OFFSET(データベース!$A$56,0,IF(Q72="",0,INDEX(データベース!$F$2:$F$5,MATCH(Q72,データベース!$E$2:$E$5,0)))-1,7,1),0),))</f>
        <v>0</v>
      </c>
      <c r="Y72">
        <f>IF(X72="",0,INDEX(データベース!$H$2:$H$4,MATCH(X72,データベース!$G$2:$G$4,0)))</f>
        <v>0</v>
      </c>
      <c r="AB72" s="9" t="str">
        <f t="shared" si="10"/>
        <v>服装・</v>
      </c>
      <c r="AD72" s="9" t="str">
        <f t="shared" si="11"/>
        <v>感情・</v>
      </c>
      <c r="AF72" s="9" cm="1">
        <f t="array" aca="1" ref="AF72" ca="1">IF(Z72="",0,INDEX(データベース!$F$2:$F$5,MATCH(Z72,データベース!$E$2:$E$5,0)))*1000
+IF(AA72="",0,INDEX(データベース!$D$41:$D$44,MATCH(AA72,OFFSET(データベース!$A$41,0,IF(Z72="",0,INDEX(データベース!$F$2:$F$5,MATCH(Z72,データベース!$E$2:$E$5,0)))-1,4,1),0),))*100
+IF(AC72="",0,INDEX(データベース!$D$48:$D$52,MATCH(AC72,OFFSET(データベース!$A$48,0,IF(Z72="",0,INDEX(データベース!$F$2:$F$5,MATCH(Z72,データベース!$E$2:$E$5,0)))-1,5,1),0),))*10
+IF(AE72="",0,INDEX(データベース!$D$56:$D$62,MATCH(AE72,OFFSET(データベース!$A$56,0,IF(Z72="",0,INDEX(データベース!$F$2:$F$5,MATCH(Z72,データベース!$E$2:$E$5,0)))-1,7,1),0),))</f>
        <v>0</v>
      </c>
      <c r="AH72">
        <f>IF(AG72="",0,INDEX(データベース!$H$2:$H$4,MATCH(AG72,データベース!$G$2:$G$4,0)))</f>
        <v>0</v>
      </c>
      <c r="AJ72">
        <f>IF(AI72="",0,INDEX(データベース!J$2:J$2,MATCH(AI72,データベース!I$2:I$2,0)))</f>
        <v>0</v>
      </c>
      <c r="AL72">
        <f>IF(AK72="",0,INDEX(データベース!L$2:L$3,MATCH(AK72,データベース!K$2:K$3,0)))</f>
        <v>0</v>
      </c>
      <c r="AN72">
        <f>IF(AM72="",0,INDEX(データベース!N$2:N$5,MATCH(AM72,データベース!M$2:M$5,0)))</f>
        <v>0</v>
      </c>
      <c r="AO72" s="4"/>
      <c r="AP72">
        <f>IF(AO72="",0,INDEX(データベース!P$2:P$3,MATCH(AO72,データベース!O$2:O$3,0)))</f>
        <v>0</v>
      </c>
      <c r="AR72">
        <f>IF(AQ72="",0,INDEX(データベース!R$2:R$27,MATCH(AQ72,データベース!Q$2:Q$27,0)))</f>
        <v>0</v>
      </c>
      <c r="AT72">
        <f>IF(AS72="",0,INDEX(データベース!T$2:T$4,MATCH(AS72,データベース!S$2:S$4,0)))</f>
        <v>0</v>
      </c>
      <c r="AV72">
        <f>IF(AU72="",0,INDEX(データベース!V$2:V$37,MATCH(AU72,データベース!U$2:U$37,0)))</f>
        <v>0</v>
      </c>
      <c r="AX72">
        <v>0</v>
      </c>
      <c r="AZ72">
        <v>0</v>
      </c>
      <c r="BB72">
        <v>0</v>
      </c>
    </row>
    <row r="73" spans="2:54">
      <c r="B73">
        <v>0</v>
      </c>
      <c r="G73">
        <f>IF(F73="",0,INDEX(データベース!D$2:D$4,MATCH(F73,データベース!C$2:C$4,0)))</f>
        <v>0</v>
      </c>
      <c r="J73" s="19" t="str">
        <f t="shared" si="6"/>
        <v>服装・</v>
      </c>
      <c r="L73" s="19" t="str">
        <f t="shared" si="7"/>
        <v>感情・</v>
      </c>
      <c r="N73" s="19" cm="1">
        <f t="array" aca="1" ref="N73" ca="1">IF(H73="",0,INDEX(データベース!$F$2:$F$5,MATCH(H73,データベース!$E$2:$E$5,0)))*1000
+IF(I73="",0,INDEX(データベース!$D$41:$D$44,MATCH(I73,OFFSET(データベース!$A$41,0,IF(H73="",0,INDEX(データベース!$F$2:$F$5,MATCH(H73,データベース!$E$2:$E$5,0)))-1,4,1),0),))*100
+IF(K73="",0,INDEX(データベース!$D$48:$D$52,MATCH(K73,OFFSET(データベース!$A$48,0,IF(H73="",0,INDEX(データベース!$F$2:$F$5,MATCH(H73,データベース!$E$2:$E$5,0)))-1,5,1),0),))*10
+IF(M73="",0,INDEX(データベース!$D$56:$D$62,MATCH(M73,OFFSET(データベース!$A$56,0,IF(H73="",0,INDEX(データベース!$F$2:$F$5,MATCH(H73,データベース!$E$2:$E$5,0)))-1,7,1),0),))</f>
        <v>0</v>
      </c>
      <c r="P73">
        <f>IF(O73="",0,INDEX(データベース!$H$2:$H$4,MATCH(O73,データベース!$G$2:$G$4,0)))</f>
        <v>0</v>
      </c>
      <c r="S73" s="18" t="str">
        <f t="shared" si="8"/>
        <v>服装・</v>
      </c>
      <c r="U73" s="18" t="str">
        <f t="shared" si="9"/>
        <v>感情・</v>
      </c>
      <c r="W73" s="18" cm="1">
        <f t="array" aca="1" ref="W73" ca="1">IF(Q73="",0,INDEX(データベース!$F$2:$F$5,MATCH(Q73,データベース!$E$2:$E$5,0)))*1000
+IF(R73="",0,INDEX(データベース!$D$41:$D$44,MATCH(R73,OFFSET(データベース!$A$41,0,IF(Q73="",0,INDEX(データベース!$F$2:$F$5,MATCH(Q73,データベース!$E$2:$E$5,0)))-1,4,1),0),))*100
+IF(T73="",0,INDEX(データベース!$D$48:$D$52,MATCH(T73,OFFSET(データベース!$A$48,0,IF(Q73="",0,INDEX(データベース!$F$2:$F$5,MATCH(Q73,データベース!$E$2:$E$5,0)))-1,5,1),0),))*10
+IF(V73="",0,INDEX(データベース!$D$56:$D$62,MATCH(V73,OFFSET(データベース!$A$56,0,IF(Q73="",0,INDEX(データベース!$F$2:$F$5,MATCH(Q73,データベース!$E$2:$E$5,0)))-1,7,1),0),))</f>
        <v>0</v>
      </c>
      <c r="Y73">
        <f>IF(X73="",0,INDEX(データベース!$H$2:$H$4,MATCH(X73,データベース!$G$2:$G$4,0)))</f>
        <v>0</v>
      </c>
      <c r="AB73" s="9" t="str">
        <f t="shared" si="10"/>
        <v>服装・</v>
      </c>
      <c r="AD73" s="9" t="str">
        <f t="shared" si="11"/>
        <v>感情・</v>
      </c>
      <c r="AF73" s="9" cm="1">
        <f t="array" aca="1" ref="AF73" ca="1">IF(Z73="",0,INDEX(データベース!$F$2:$F$5,MATCH(Z73,データベース!$E$2:$E$5,0)))*1000
+IF(AA73="",0,INDEX(データベース!$D$41:$D$44,MATCH(AA73,OFFSET(データベース!$A$41,0,IF(Z73="",0,INDEX(データベース!$F$2:$F$5,MATCH(Z73,データベース!$E$2:$E$5,0)))-1,4,1),0),))*100
+IF(AC73="",0,INDEX(データベース!$D$48:$D$52,MATCH(AC73,OFFSET(データベース!$A$48,0,IF(Z73="",0,INDEX(データベース!$F$2:$F$5,MATCH(Z73,データベース!$E$2:$E$5,0)))-1,5,1),0),))*10
+IF(AE73="",0,INDEX(データベース!$D$56:$D$62,MATCH(AE73,OFFSET(データベース!$A$56,0,IF(Z73="",0,INDEX(データベース!$F$2:$F$5,MATCH(Z73,データベース!$E$2:$E$5,0)))-1,7,1),0),))</f>
        <v>0</v>
      </c>
      <c r="AH73">
        <f>IF(AG73="",0,INDEX(データベース!$H$2:$H$4,MATCH(AG73,データベース!$G$2:$G$4,0)))</f>
        <v>0</v>
      </c>
      <c r="AJ73">
        <f>IF(AI73="",0,INDEX(データベース!J$2:J$2,MATCH(AI73,データベース!I$2:I$2,0)))</f>
        <v>0</v>
      </c>
      <c r="AL73">
        <f>IF(AK73="",0,INDEX(データベース!L$2:L$3,MATCH(AK73,データベース!K$2:K$3,0)))</f>
        <v>0</v>
      </c>
      <c r="AN73">
        <f>IF(AM73="",0,INDEX(データベース!N$2:N$5,MATCH(AM73,データベース!M$2:M$5,0)))</f>
        <v>0</v>
      </c>
      <c r="AO73" s="4"/>
      <c r="AP73">
        <f>IF(AO73="",0,INDEX(データベース!P$2:P$3,MATCH(AO73,データベース!O$2:O$3,0)))</f>
        <v>0</v>
      </c>
      <c r="AR73">
        <f>IF(AQ73="",0,INDEX(データベース!R$2:R$27,MATCH(AQ73,データベース!Q$2:Q$27,0)))</f>
        <v>0</v>
      </c>
      <c r="AT73">
        <f>IF(AS73="",0,INDEX(データベース!T$2:T$4,MATCH(AS73,データベース!S$2:S$4,0)))</f>
        <v>0</v>
      </c>
      <c r="AV73">
        <f>IF(AU73="",0,INDEX(データベース!V$2:V$37,MATCH(AU73,データベース!U$2:U$37,0)))</f>
        <v>0</v>
      </c>
      <c r="AX73">
        <v>0</v>
      </c>
      <c r="AZ73">
        <v>0</v>
      </c>
      <c r="BB73">
        <v>0</v>
      </c>
    </row>
    <row r="74" spans="2:54">
      <c r="B74">
        <v>0</v>
      </c>
      <c r="G74">
        <f>IF(F74="",0,INDEX(データベース!D$2:D$4,MATCH(F74,データベース!C$2:C$4,0)))</f>
        <v>0</v>
      </c>
      <c r="J74" s="19" t="str">
        <f t="shared" si="6"/>
        <v>服装・</v>
      </c>
      <c r="L74" s="19" t="str">
        <f t="shared" si="7"/>
        <v>感情・</v>
      </c>
      <c r="N74" s="19" cm="1">
        <f t="array" aca="1" ref="N74" ca="1">IF(H74="",0,INDEX(データベース!$F$2:$F$5,MATCH(H74,データベース!$E$2:$E$5,0)))*1000
+IF(I74="",0,INDEX(データベース!$D$41:$D$44,MATCH(I74,OFFSET(データベース!$A$41,0,IF(H74="",0,INDEX(データベース!$F$2:$F$5,MATCH(H74,データベース!$E$2:$E$5,0)))-1,4,1),0),))*100
+IF(K74="",0,INDEX(データベース!$D$48:$D$52,MATCH(K74,OFFSET(データベース!$A$48,0,IF(H74="",0,INDEX(データベース!$F$2:$F$5,MATCH(H74,データベース!$E$2:$E$5,0)))-1,5,1),0),))*10
+IF(M74="",0,INDEX(データベース!$D$56:$D$62,MATCH(M74,OFFSET(データベース!$A$56,0,IF(H74="",0,INDEX(データベース!$F$2:$F$5,MATCH(H74,データベース!$E$2:$E$5,0)))-1,7,1),0),))</f>
        <v>0</v>
      </c>
      <c r="P74">
        <f>IF(O74="",0,INDEX(データベース!$H$2:$H$4,MATCH(O74,データベース!$G$2:$G$4,0)))</f>
        <v>0</v>
      </c>
      <c r="S74" s="18" t="str">
        <f t="shared" si="8"/>
        <v>服装・</v>
      </c>
      <c r="U74" s="18" t="str">
        <f t="shared" si="9"/>
        <v>感情・</v>
      </c>
      <c r="W74" s="18" cm="1">
        <f t="array" aca="1" ref="W74" ca="1">IF(Q74="",0,INDEX(データベース!$F$2:$F$5,MATCH(Q74,データベース!$E$2:$E$5,0)))*1000
+IF(R74="",0,INDEX(データベース!$D$41:$D$44,MATCH(R74,OFFSET(データベース!$A$41,0,IF(Q74="",0,INDEX(データベース!$F$2:$F$5,MATCH(Q74,データベース!$E$2:$E$5,0)))-1,4,1),0),))*100
+IF(T74="",0,INDEX(データベース!$D$48:$D$52,MATCH(T74,OFFSET(データベース!$A$48,0,IF(Q74="",0,INDEX(データベース!$F$2:$F$5,MATCH(Q74,データベース!$E$2:$E$5,0)))-1,5,1),0),))*10
+IF(V74="",0,INDEX(データベース!$D$56:$D$62,MATCH(V74,OFFSET(データベース!$A$56,0,IF(Q74="",0,INDEX(データベース!$F$2:$F$5,MATCH(Q74,データベース!$E$2:$E$5,0)))-1,7,1),0),))</f>
        <v>0</v>
      </c>
      <c r="Y74">
        <f>IF(X74="",0,INDEX(データベース!$H$2:$H$4,MATCH(X74,データベース!$G$2:$G$4,0)))</f>
        <v>0</v>
      </c>
      <c r="AB74" s="9" t="str">
        <f t="shared" si="10"/>
        <v>服装・</v>
      </c>
      <c r="AD74" s="9" t="str">
        <f t="shared" si="11"/>
        <v>感情・</v>
      </c>
      <c r="AF74" s="9" cm="1">
        <f t="array" aca="1" ref="AF74" ca="1">IF(Z74="",0,INDEX(データベース!$F$2:$F$5,MATCH(Z74,データベース!$E$2:$E$5,0)))*1000
+IF(AA74="",0,INDEX(データベース!$D$41:$D$44,MATCH(AA74,OFFSET(データベース!$A$41,0,IF(Z74="",0,INDEX(データベース!$F$2:$F$5,MATCH(Z74,データベース!$E$2:$E$5,0)))-1,4,1),0),))*100
+IF(AC74="",0,INDEX(データベース!$D$48:$D$52,MATCH(AC74,OFFSET(データベース!$A$48,0,IF(Z74="",0,INDEX(データベース!$F$2:$F$5,MATCH(Z74,データベース!$E$2:$E$5,0)))-1,5,1),0),))*10
+IF(AE74="",0,INDEX(データベース!$D$56:$D$62,MATCH(AE74,OFFSET(データベース!$A$56,0,IF(Z74="",0,INDEX(データベース!$F$2:$F$5,MATCH(Z74,データベース!$E$2:$E$5,0)))-1,7,1),0),))</f>
        <v>0</v>
      </c>
      <c r="AH74">
        <f>IF(AG74="",0,INDEX(データベース!$H$2:$H$4,MATCH(AG74,データベース!$G$2:$G$4,0)))</f>
        <v>0</v>
      </c>
      <c r="AJ74">
        <f>IF(AI74="",0,INDEX(データベース!J$2:J$2,MATCH(AI74,データベース!I$2:I$2,0)))</f>
        <v>0</v>
      </c>
      <c r="AL74">
        <f>IF(AK74="",0,INDEX(データベース!L$2:L$3,MATCH(AK74,データベース!K$2:K$3,0)))</f>
        <v>0</v>
      </c>
      <c r="AN74">
        <f>IF(AM74="",0,INDEX(データベース!N$2:N$5,MATCH(AM74,データベース!M$2:M$5,0)))</f>
        <v>0</v>
      </c>
      <c r="AO74" s="4"/>
      <c r="AP74">
        <f>IF(AO74="",0,INDEX(データベース!P$2:P$3,MATCH(AO74,データベース!O$2:O$3,0)))</f>
        <v>0</v>
      </c>
      <c r="AR74">
        <f>IF(AQ74="",0,INDEX(データベース!R$2:R$27,MATCH(AQ74,データベース!Q$2:Q$27,0)))</f>
        <v>0</v>
      </c>
      <c r="AT74">
        <f>IF(AS74="",0,INDEX(データベース!T$2:T$4,MATCH(AS74,データベース!S$2:S$4,0)))</f>
        <v>0</v>
      </c>
      <c r="AV74">
        <f>IF(AU74="",0,INDEX(データベース!V$2:V$37,MATCH(AU74,データベース!U$2:U$37,0)))</f>
        <v>0</v>
      </c>
      <c r="AX74">
        <v>0</v>
      </c>
      <c r="AZ74">
        <v>0</v>
      </c>
      <c r="BB74">
        <v>0</v>
      </c>
    </row>
    <row r="75" spans="2:54">
      <c r="B75">
        <v>0</v>
      </c>
      <c r="G75">
        <f>IF(F75="",0,INDEX(データベース!D$2:D$4,MATCH(F75,データベース!C$2:C$4,0)))</f>
        <v>0</v>
      </c>
      <c r="J75" s="19" t="str">
        <f t="shared" si="6"/>
        <v>服装・</v>
      </c>
      <c r="L75" s="19" t="str">
        <f t="shared" si="7"/>
        <v>感情・</v>
      </c>
      <c r="N75" s="19" cm="1">
        <f t="array" aca="1" ref="N75" ca="1">IF(H75="",0,INDEX(データベース!$F$2:$F$5,MATCH(H75,データベース!$E$2:$E$5,0)))*1000
+IF(I75="",0,INDEX(データベース!$D$41:$D$44,MATCH(I75,OFFSET(データベース!$A$41,0,IF(H75="",0,INDEX(データベース!$F$2:$F$5,MATCH(H75,データベース!$E$2:$E$5,0)))-1,4,1),0),))*100
+IF(K75="",0,INDEX(データベース!$D$48:$D$52,MATCH(K75,OFFSET(データベース!$A$48,0,IF(H75="",0,INDEX(データベース!$F$2:$F$5,MATCH(H75,データベース!$E$2:$E$5,0)))-1,5,1),0),))*10
+IF(M75="",0,INDEX(データベース!$D$56:$D$62,MATCH(M75,OFFSET(データベース!$A$56,0,IF(H75="",0,INDEX(データベース!$F$2:$F$5,MATCH(H75,データベース!$E$2:$E$5,0)))-1,7,1),0),))</f>
        <v>0</v>
      </c>
      <c r="P75">
        <f>IF(O75="",0,INDEX(データベース!$H$2:$H$4,MATCH(O75,データベース!$G$2:$G$4,0)))</f>
        <v>0</v>
      </c>
      <c r="S75" s="18" t="str">
        <f t="shared" si="8"/>
        <v>服装・</v>
      </c>
      <c r="U75" s="18" t="str">
        <f t="shared" si="9"/>
        <v>感情・</v>
      </c>
      <c r="W75" s="18" cm="1">
        <f t="array" aca="1" ref="W75" ca="1">IF(Q75="",0,INDEX(データベース!$F$2:$F$5,MATCH(Q75,データベース!$E$2:$E$5,0)))*1000
+IF(R75="",0,INDEX(データベース!$D$41:$D$44,MATCH(R75,OFFSET(データベース!$A$41,0,IF(Q75="",0,INDEX(データベース!$F$2:$F$5,MATCH(Q75,データベース!$E$2:$E$5,0)))-1,4,1),0),))*100
+IF(T75="",0,INDEX(データベース!$D$48:$D$52,MATCH(T75,OFFSET(データベース!$A$48,0,IF(Q75="",0,INDEX(データベース!$F$2:$F$5,MATCH(Q75,データベース!$E$2:$E$5,0)))-1,5,1),0),))*10
+IF(V75="",0,INDEX(データベース!$D$56:$D$62,MATCH(V75,OFFSET(データベース!$A$56,0,IF(Q75="",0,INDEX(データベース!$F$2:$F$5,MATCH(Q75,データベース!$E$2:$E$5,0)))-1,7,1),0),))</f>
        <v>0</v>
      </c>
      <c r="Y75">
        <f>IF(X75="",0,INDEX(データベース!$H$2:$H$4,MATCH(X75,データベース!$G$2:$G$4,0)))</f>
        <v>0</v>
      </c>
      <c r="AB75" s="9" t="str">
        <f t="shared" si="10"/>
        <v>服装・</v>
      </c>
      <c r="AD75" s="9" t="str">
        <f t="shared" si="11"/>
        <v>感情・</v>
      </c>
      <c r="AF75" s="9" cm="1">
        <f t="array" aca="1" ref="AF75" ca="1">IF(Z75="",0,INDEX(データベース!$F$2:$F$5,MATCH(Z75,データベース!$E$2:$E$5,0)))*1000
+IF(AA75="",0,INDEX(データベース!$D$41:$D$44,MATCH(AA75,OFFSET(データベース!$A$41,0,IF(Z75="",0,INDEX(データベース!$F$2:$F$5,MATCH(Z75,データベース!$E$2:$E$5,0)))-1,4,1),0),))*100
+IF(AC75="",0,INDEX(データベース!$D$48:$D$52,MATCH(AC75,OFFSET(データベース!$A$48,0,IF(Z75="",0,INDEX(データベース!$F$2:$F$5,MATCH(Z75,データベース!$E$2:$E$5,0)))-1,5,1),0),))*10
+IF(AE75="",0,INDEX(データベース!$D$56:$D$62,MATCH(AE75,OFFSET(データベース!$A$56,0,IF(Z75="",0,INDEX(データベース!$F$2:$F$5,MATCH(Z75,データベース!$E$2:$E$5,0)))-1,7,1),0),))</f>
        <v>0</v>
      </c>
      <c r="AH75">
        <f>IF(AG75="",0,INDEX(データベース!$H$2:$H$4,MATCH(AG75,データベース!$G$2:$G$4,0)))</f>
        <v>0</v>
      </c>
      <c r="AJ75">
        <f>IF(AI75="",0,INDEX(データベース!J$2:J$2,MATCH(AI75,データベース!I$2:I$2,0)))</f>
        <v>0</v>
      </c>
      <c r="AL75">
        <f>IF(AK75="",0,INDEX(データベース!L$2:L$3,MATCH(AK75,データベース!K$2:K$3,0)))</f>
        <v>0</v>
      </c>
      <c r="AN75">
        <f>IF(AM75="",0,INDEX(データベース!N$2:N$5,MATCH(AM75,データベース!M$2:M$5,0)))</f>
        <v>0</v>
      </c>
      <c r="AO75" s="4"/>
      <c r="AP75">
        <f>IF(AO75="",0,INDEX(データベース!P$2:P$3,MATCH(AO75,データベース!O$2:O$3,0)))</f>
        <v>0</v>
      </c>
      <c r="AR75">
        <f>IF(AQ75="",0,INDEX(データベース!R$2:R$27,MATCH(AQ75,データベース!Q$2:Q$27,0)))</f>
        <v>0</v>
      </c>
      <c r="AT75">
        <f>IF(AS75="",0,INDEX(データベース!T$2:T$4,MATCH(AS75,データベース!S$2:S$4,0)))</f>
        <v>0</v>
      </c>
      <c r="AV75">
        <f>IF(AU75="",0,INDEX(データベース!V$2:V$37,MATCH(AU75,データベース!U$2:U$37,0)))</f>
        <v>0</v>
      </c>
      <c r="AX75">
        <v>0</v>
      </c>
      <c r="AZ75">
        <v>0</v>
      </c>
      <c r="BB75">
        <v>0</v>
      </c>
    </row>
    <row r="76" spans="2:54">
      <c r="B76">
        <v>0</v>
      </c>
      <c r="G76">
        <f>IF(F76="",0,INDEX(データベース!D$2:D$4,MATCH(F76,データベース!C$2:C$4,0)))</f>
        <v>0</v>
      </c>
      <c r="J76" s="19" t="str">
        <f t="shared" si="6"/>
        <v>服装・</v>
      </c>
      <c r="L76" s="19" t="str">
        <f t="shared" si="7"/>
        <v>感情・</v>
      </c>
      <c r="N76" s="19" cm="1">
        <f t="array" aca="1" ref="N76" ca="1">IF(H76="",0,INDEX(データベース!$F$2:$F$5,MATCH(H76,データベース!$E$2:$E$5,0)))*1000
+IF(I76="",0,INDEX(データベース!$D$41:$D$44,MATCH(I76,OFFSET(データベース!$A$41,0,IF(H76="",0,INDEX(データベース!$F$2:$F$5,MATCH(H76,データベース!$E$2:$E$5,0)))-1,4,1),0),))*100
+IF(K76="",0,INDEX(データベース!$D$48:$D$52,MATCH(K76,OFFSET(データベース!$A$48,0,IF(H76="",0,INDEX(データベース!$F$2:$F$5,MATCH(H76,データベース!$E$2:$E$5,0)))-1,5,1),0),))*10
+IF(M76="",0,INDEX(データベース!$D$56:$D$62,MATCH(M76,OFFSET(データベース!$A$56,0,IF(H76="",0,INDEX(データベース!$F$2:$F$5,MATCH(H76,データベース!$E$2:$E$5,0)))-1,7,1),0),))</f>
        <v>0</v>
      </c>
      <c r="P76">
        <f>IF(O76="",0,INDEX(データベース!$H$2:$H$4,MATCH(O76,データベース!$G$2:$G$4,0)))</f>
        <v>0</v>
      </c>
      <c r="S76" s="18" t="str">
        <f t="shared" si="8"/>
        <v>服装・</v>
      </c>
      <c r="U76" s="18" t="str">
        <f t="shared" si="9"/>
        <v>感情・</v>
      </c>
      <c r="W76" s="18" cm="1">
        <f t="array" aca="1" ref="W76" ca="1">IF(Q76="",0,INDEX(データベース!$F$2:$F$5,MATCH(Q76,データベース!$E$2:$E$5,0)))*1000
+IF(R76="",0,INDEX(データベース!$D$41:$D$44,MATCH(R76,OFFSET(データベース!$A$41,0,IF(Q76="",0,INDEX(データベース!$F$2:$F$5,MATCH(Q76,データベース!$E$2:$E$5,0)))-1,4,1),0),))*100
+IF(T76="",0,INDEX(データベース!$D$48:$D$52,MATCH(T76,OFFSET(データベース!$A$48,0,IF(Q76="",0,INDEX(データベース!$F$2:$F$5,MATCH(Q76,データベース!$E$2:$E$5,0)))-1,5,1),0),))*10
+IF(V76="",0,INDEX(データベース!$D$56:$D$62,MATCH(V76,OFFSET(データベース!$A$56,0,IF(Q76="",0,INDEX(データベース!$F$2:$F$5,MATCH(Q76,データベース!$E$2:$E$5,0)))-1,7,1),0),))</f>
        <v>0</v>
      </c>
      <c r="Y76">
        <f>IF(X76="",0,INDEX(データベース!$H$2:$H$4,MATCH(X76,データベース!$G$2:$G$4,0)))</f>
        <v>0</v>
      </c>
      <c r="AB76" s="9" t="str">
        <f t="shared" si="10"/>
        <v>服装・</v>
      </c>
      <c r="AD76" s="9" t="str">
        <f t="shared" si="11"/>
        <v>感情・</v>
      </c>
      <c r="AF76" s="9" cm="1">
        <f t="array" aca="1" ref="AF76" ca="1">IF(Z76="",0,INDEX(データベース!$F$2:$F$5,MATCH(Z76,データベース!$E$2:$E$5,0)))*1000
+IF(AA76="",0,INDEX(データベース!$D$41:$D$44,MATCH(AA76,OFFSET(データベース!$A$41,0,IF(Z76="",0,INDEX(データベース!$F$2:$F$5,MATCH(Z76,データベース!$E$2:$E$5,0)))-1,4,1),0),))*100
+IF(AC76="",0,INDEX(データベース!$D$48:$D$52,MATCH(AC76,OFFSET(データベース!$A$48,0,IF(Z76="",0,INDEX(データベース!$F$2:$F$5,MATCH(Z76,データベース!$E$2:$E$5,0)))-1,5,1),0),))*10
+IF(AE76="",0,INDEX(データベース!$D$56:$D$62,MATCH(AE76,OFFSET(データベース!$A$56,0,IF(Z76="",0,INDEX(データベース!$F$2:$F$5,MATCH(Z76,データベース!$E$2:$E$5,0)))-1,7,1),0),))</f>
        <v>0</v>
      </c>
      <c r="AH76">
        <f>IF(AG76="",0,INDEX(データベース!$H$2:$H$4,MATCH(AG76,データベース!$G$2:$G$4,0)))</f>
        <v>0</v>
      </c>
      <c r="AJ76">
        <f>IF(AI76="",0,INDEX(データベース!J$2:J$2,MATCH(AI76,データベース!I$2:I$2,0)))</f>
        <v>0</v>
      </c>
      <c r="AL76">
        <f>IF(AK76="",0,INDEX(データベース!L$2:L$3,MATCH(AK76,データベース!K$2:K$3,0)))</f>
        <v>0</v>
      </c>
      <c r="AN76">
        <f>IF(AM76="",0,INDEX(データベース!N$2:N$5,MATCH(AM76,データベース!M$2:M$5,0)))</f>
        <v>0</v>
      </c>
      <c r="AO76" s="4"/>
      <c r="AP76">
        <f>IF(AO76="",0,INDEX(データベース!P$2:P$3,MATCH(AO76,データベース!O$2:O$3,0)))</f>
        <v>0</v>
      </c>
      <c r="AR76">
        <f>IF(AQ76="",0,INDEX(データベース!R$2:R$27,MATCH(AQ76,データベース!Q$2:Q$27,0)))</f>
        <v>0</v>
      </c>
      <c r="AT76">
        <f>IF(AS76="",0,INDEX(データベース!T$2:T$4,MATCH(AS76,データベース!S$2:S$4,0)))</f>
        <v>0</v>
      </c>
      <c r="AV76">
        <f>IF(AU76="",0,INDEX(データベース!V$2:V$37,MATCH(AU76,データベース!U$2:U$37,0)))</f>
        <v>0</v>
      </c>
      <c r="AX76">
        <v>0</v>
      </c>
      <c r="AZ76">
        <v>0</v>
      </c>
      <c r="BB76">
        <v>0</v>
      </c>
    </row>
    <row r="77" spans="2:54">
      <c r="B77">
        <v>0</v>
      </c>
      <c r="G77">
        <f>IF(F77="",0,INDEX(データベース!D$2:D$4,MATCH(F77,データベース!C$2:C$4,0)))</f>
        <v>0</v>
      </c>
      <c r="J77" s="19" t="str">
        <f t="shared" si="6"/>
        <v>服装・</v>
      </c>
      <c r="L77" s="19" t="str">
        <f t="shared" si="7"/>
        <v>感情・</v>
      </c>
      <c r="N77" s="19" cm="1">
        <f t="array" aca="1" ref="N77" ca="1">IF(H77="",0,INDEX(データベース!$F$2:$F$5,MATCH(H77,データベース!$E$2:$E$5,0)))*1000
+IF(I77="",0,INDEX(データベース!$D$41:$D$44,MATCH(I77,OFFSET(データベース!$A$41,0,IF(H77="",0,INDEX(データベース!$F$2:$F$5,MATCH(H77,データベース!$E$2:$E$5,0)))-1,4,1),0),))*100
+IF(K77="",0,INDEX(データベース!$D$48:$D$52,MATCH(K77,OFFSET(データベース!$A$48,0,IF(H77="",0,INDEX(データベース!$F$2:$F$5,MATCH(H77,データベース!$E$2:$E$5,0)))-1,5,1),0),))*10
+IF(M77="",0,INDEX(データベース!$D$56:$D$62,MATCH(M77,OFFSET(データベース!$A$56,0,IF(H77="",0,INDEX(データベース!$F$2:$F$5,MATCH(H77,データベース!$E$2:$E$5,0)))-1,7,1),0),))</f>
        <v>0</v>
      </c>
      <c r="P77">
        <f>IF(O77="",0,INDEX(データベース!$H$2:$H$4,MATCH(O77,データベース!$G$2:$G$4,0)))</f>
        <v>0</v>
      </c>
      <c r="S77" s="18" t="str">
        <f t="shared" si="8"/>
        <v>服装・</v>
      </c>
      <c r="U77" s="18" t="str">
        <f t="shared" si="9"/>
        <v>感情・</v>
      </c>
      <c r="W77" s="18" cm="1">
        <f t="array" aca="1" ref="W77" ca="1">IF(Q77="",0,INDEX(データベース!$F$2:$F$5,MATCH(Q77,データベース!$E$2:$E$5,0)))*1000
+IF(R77="",0,INDEX(データベース!$D$41:$D$44,MATCH(R77,OFFSET(データベース!$A$41,0,IF(Q77="",0,INDEX(データベース!$F$2:$F$5,MATCH(Q77,データベース!$E$2:$E$5,0)))-1,4,1),0),))*100
+IF(T77="",0,INDEX(データベース!$D$48:$D$52,MATCH(T77,OFFSET(データベース!$A$48,0,IF(Q77="",0,INDEX(データベース!$F$2:$F$5,MATCH(Q77,データベース!$E$2:$E$5,0)))-1,5,1),0),))*10
+IF(V77="",0,INDEX(データベース!$D$56:$D$62,MATCH(V77,OFFSET(データベース!$A$56,0,IF(Q77="",0,INDEX(データベース!$F$2:$F$5,MATCH(Q77,データベース!$E$2:$E$5,0)))-1,7,1),0),))</f>
        <v>0</v>
      </c>
      <c r="Y77">
        <f>IF(X77="",0,INDEX(データベース!$H$2:$H$4,MATCH(X77,データベース!$G$2:$G$4,0)))</f>
        <v>0</v>
      </c>
      <c r="AB77" s="9" t="str">
        <f t="shared" si="10"/>
        <v>服装・</v>
      </c>
      <c r="AD77" s="9" t="str">
        <f t="shared" si="11"/>
        <v>感情・</v>
      </c>
      <c r="AF77" s="9" cm="1">
        <f t="array" aca="1" ref="AF77" ca="1">IF(Z77="",0,INDEX(データベース!$F$2:$F$5,MATCH(Z77,データベース!$E$2:$E$5,0)))*1000
+IF(AA77="",0,INDEX(データベース!$D$41:$D$44,MATCH(AA77,OFFSET(データベース!$A$41,0,IF(Z77="",0,INDEX(データベース!$F$2:$F$5,MATCH(Z77,データベース!$E$2:$E$5,0)))-1,4,1),0),))*100
+IF(AC77="",0,INDEX(データベース!$D$48:$D$52,MATCH(AC77,OFFSET(データベース!$A$48,0,IF(Z77="",0,INDEX(データベース!$F$2:$F$5,MATCH(Z77,データベース!$E$2:$E$5,0)))-1,5,1),0),))*10
+IF(AE77="",0,INDEX(データベース!$D$56:$D$62,MATCH(AE77,OFFSET(データベース!$A$56,0,IF(Z77="",0,INDEX(データベース!$F$2:$F$5,MATCH(Z77,データベース!$E$2:$E$5,0)))-1,7,1),0),))</f>
        <v>0</v>
      </c>
      <c r="AH77">
        <f>IF(AG77="",0,INDEX(データベース!$H$2:$H$4,MATCH(AG77,データベース!$G$2:$G$4,0)))</f>
        <v>0</v>
      </c>
      <c r="AJ77">
        <f>IF(AI77="",0,INDEX(データベース!J$2:J$2,MATCH(AI77,データベース!I$2:I$2,0)))</f>
        <v>0</v>
      </c>
      <c r="AL77">
        <f>IF(AK77="",0,INDEX(データベース!L$2:L$3,MATCH(AK77,データベース!K$2:K$3,0)))</f>
        <v>0</v>
      </c>
      <c r="AN77">
        <f>IF(AM77="",0,INDEX(データベース!N$2:N$5,MATCH(AM77,データベース!M$2:M$5,0)))</f>
        <v>0</v>
      </c>
      <c r="AO77" s="4"/>
      <c r="AP77">
        <f>IF(AO77="",0,INDEX(データベース!P$2:P$3,MATCH(AO77,データベース!O$2:O$3,0)))</f>
        <v>0</v>
      </c>
      <c r="AR77">
        <f>IF(AQ77="",0,INDEX(データベース!R$2:R$27,MATCH(AQ77,データベース!Q$2:Q$27,0)))</f>
        <v>0</v>
      </c>
      <c r="AT77">
        <f>IF(AS77="",0,INDEX(データベース!T$2:T$4,MATCH(AS77,データベース!S$2:S$4,0)))</f>
        <v>0</v>
      </c>
      <c r="AV77">
        <f>IF(AU77="",0,INDEX(データベース!V$2:V$37,MATCH(AU77,データベース!U$2:U$37,0)))</f>
        <v>0</v>
      </c>
      <c r="AX77">
        <v>0</v>
      </c>
      <c r="AZ77">
        <v>0</v>
      </c>
      <c r="BB77">
        <v>0</v>
      </c>
    </row>
    <row r="78" spans="2:54">
      <c r="B78">
        <v>0</v>
      </c>
      <c r="G78">
        <f>IF(F78="",0,INDEX(データベース!D$2:D$4,MATCH(F78,データベース!C$2:C$4,0)))</f>
        <v>0</v>
      </c>
      <c r="J78" s="19" t="str">
        <f t="shared" si="6"/>
        <v>服装・</v>
      </c>
      <c r="L78" s="19" t="str">
        <f t="shared" si="7"/>
        <v>感情・</v>
      </c>
      <c r="N78" s="19" cm="1">
        <f t="array" aca="1" ref="N78" ca="1">IF(H78="",0,INDEX(データベース!$F$2:$F$5,MATCH(H78,データベース!$E$2:$E$5,0)))*1000
+IF(I78="",0,INDEX(データベース!$D$41:$D$44,MATCH(I78,OFFSET(データベース!$A$41,0,IF(H78="",0,INDEX(データベース!$F$2:$F$5,MATCH(H78,データベース!$E$2:$E$5,0)))-1,4,1),0),))*100
+IF(K78="",0,INDEX(データベース!$D$48:$D$52,MATCH(K78,OFFSET(データベース!$A$48,0,IF(H78="",0,INDEX(データベース!$F$2:$F$5,MATCH(H78,データベース!$E$2:$E$5,0)))-1,5,1),0),))*10
+IF(M78="",0,INDEX(データベース!$D$56:$D$62,MATCH(M78,OFFSET(データベース!$A$56,0,IF(H78="",0,INDEX(データベース!$F$2:$F$5,MATCH(H78,データベース!$E$2:$E$5,0)))-1,7,1),0),))</f>
        <v>0</v>
      </c>
      <c r="P78">
        <f>IF(O78="",0,INDEX(データベース!$H$2:$H$4,MATCH(O78,データベース!$G$2:$G$4,0)))</f>
        <v>0</v>
      </c>
      <c r="S78" s="18" t="str">
        <f t="shared" si="8"/>
        <v>服装・</v>
      </c>
      <c r="U78" s="18" t="str">
        <f t="shared" si="9"/>
        <v>感情・</v>
      </c>
      <c r="W78" s="18" cm="1">
        <f t="array" aca="1" ref="W78" ca="1">IF(Q78="",0,INDEX(データベース!$F$2:$F$5,MATCH(Q78,データベース!$E$2:$E$5,0)))*1000
+IF(R78="",0,INDEX(データベース!$D$41:$D$44,MATCH(R78,OFFSET(データベース!$A$41,0,IF(Q78="",0,INDEX(データベース!$F$2:$F$5,MATCH(Q78,データベース!$E$2:$E$5,0)))-1,4,1),0),))*100
+IF(T78="",0,INDEX(データベース!$D$48:$D$52,MATCH(T78,OFFSET(データベース!$A$48,0,IF(Q78="",0,INDEX(データベース!$F$2:$F$5,MATCH(Q78,データベース!$E$2:$E$5,0)))-1,5,1),0),))*10
+IF(V78="",0,INDEX(データベース!$D$56:$D$62,MATCH(V78,OFFSET(データベース!$A$56,0,IF(Q78="",0,INDEX(データベース!$F$2:$F$5,MATCH(Q78,データベース!$E$2:$E$5,0)))-1,7,1),0),))</f>
        <v>0</v>
      </c>
      <c r="Y78">
        <f>IF(X78="",0,INDEX(データベース!$H$2:$H$4,MATCH(X78,データベース!$G$2:$G$4,0)))</f>
        <v>0</v>
      </c>
      <c r="AB78" s="9" t="str">
        <f t="shared" si="10"/>
        <v>服装・</v>
      </c>
      <c r="AD78" s="9" t="str">
        <f t="shared" si="11"/>
        <v>感情・</v>
      </c>
      <c r="AF78" s="9" cm="1">
        <f t="array" aca="1" ref="AF78" ca="1">IF(Z78="",0,INDEX(データベース!$F$2:$F$5,MATCH(Z78,データベース!$E$2:$E$5,0)))*1000
+IF(AA78="",0,INDEX(データベース!$D$41:$D$44,MATCH(AA78,OFFSET(データベース!$A$41,0,IF(Z78="",0,INDEX(データベース!$F$2:$F$5,MATCH(Z78,データベース!$E$2:$E$5,0)))-1,4,1),0),))*100
+IF(AC78="",0,INDEX(データベース!$D$48:$D$52,MATCH(AC78,OFFSET(データベース!$A$48,0,IF(Z78="",0,INDEX(データベース!$F$2:$F$5,MATCH(Z78,データベース!$E$2:$E$5,0)))-1,5,1),0),))*10
+IF(AE78="",0,INDEX(データベース!$D$56:$D$62,MATCH(AE78,OFFSET(データベース!$A$56,0,IF(Z78="",0,INDEX(データベース!$F$2:$F$5,MATCH(Z78,データベース!$E$2:$E$5,0)))-1,7,1),0),))</f>
        <v>0</v>
      </c>
      <c r="AH78">
        <f>IF(AG78="",0,INDEX(データベース!$H$2:$H$4,MATCH(AG78,データベース!$G$2:$G$4,0)))</f>
        <v>0</v>
      </c>
      <c r="AJ78">
        <f>IF(AI78="",0,INDEX(データベース!J$2:J$2,MATCH(AI78,データベース!I$2:I$2,0)))</f>
        <v>0</v>
      </c>
      <c r="AL78">
        <f>IF(AK78="",0,INDEX(データベース!L$2:L$3,MATCH(AK78,データベース!K$2:K$3,0)))</f>
        <v>0</v>
      </c>
      <c r="AN78">
        <f>IF(AM78="",0,INDEX(データベース!N$2:N$5,MATCH(AM78,データベース!M$2:M$5,0)))</f>
        <v>0</v>
      </c>
      <c r="AO78" s="4"/>
      <c r="AP78">
        <f>IF(AO78="",0,INDEX(データベース!P$2:P$3,MATCH(AO78,データベース!O$2:O$3,0)))</f>
        <v>0</v>
      </c>
      <c r="AR78">
        <f>IF(AQ78="",0,INDEX(データベース!R$2:R$27,MATCH(AQ78,データベース!Q$2:Q$27,0)))</f>
        <v>0</v>
      </c>
      <c r="AT78">
        <f>IF(AS78="",0,INDEX(データベース!T$2:T$4,MATCH(AS78,データベース!S$2:S$4,0)))</f>
        <v>0</v>
      </c>
      <c r="AV78">
        <f>IF(AU78="",0,INDEX(データベース!V$2:V$37,MATCH(AU78,データベース!U$2:U$37,0)))</f>
        <v>0</v>
      </c>
      <c r="AX78">
        <v>0</v>
      </c>
      <c r="AZ78">
        <v>0</v>
      </c>
      <c r="BB78">
        <v>0</v>
      </c>
    </row>
    <row r="79" spans="2:54">
      <c r="B79">
        <v>0</v>
      </c>
      <c r="G79">
        <f>IF(F79="",0,INDEX(データベース!D$2:D$4,MATCH(F79,データベース!C$2:C$4,0)))</f>
        <v>0</v>
      </c>
      <c r="J79" s="19" t="str">
        <f t="shared" si="6"/>
        <v>服装・</v>
      </c>
      <c r="L79" s="19" t="str">
        <f t="shared" si="7"/>
        <v>感情・</v>
      </c>
      <c r="N79" s="19" cm="1">
        <f t="array" aca="1" ref="N79" ca="1">IF(H79="",0,INDEX(データベース!$F$2:$F$5,MATCH(H79,データベース!$E$2:$E$5,0)))*1000
+IF(I79="",0,INDEX(データベース!$D$41:$D$44,MATCH(I79,OFFSET(データベース!$A$41,0,IF(H79="",0,INDEX(データベース!$F$2:$F$5,MATCH(H79,データベース!$E$2:$E$5,0)))-1,4,1),0),))*100
+IF(K79="",0,INDEX(データベース!$D$48:$D$52,MATCH(K79,OFFSET(データベース!$A$48,0,IF(H79="",0,INDEX(データベース!$F$2:$F$5,MATCH(H79,データベース!$E$2:$E$5,0)))-1,5,1),0),))*10
+IF(M79="",0,INDEX(データベース!$D$56:$D$62,MATCH(M79,OFFSET(データベース!$A$56,0,IF(H79="",0,INDEX(データベース!$F$2:$F$5,MATCH(H79,データベース!$E$2:$E$5,0)))-1,7,1),0),))</f>
        <v>0</v>
      </c>
      <c r="P79">
        <f>IF(O79="",0,INDEX(データベース!$H$2:$H$4,MATCH(O79,データベース!$G$2:$G$4,0)))</f>
        <v>0</v>
      </c>
      <c r="S79" s="18" t="str">
        <f t="shared" si="8"/>
        <v>服装・</v>
      </c>
      <c r="U79" s="18" t="str">
        <f t="shared" si="9"/>
        <v>感情・</v>
      </c>
      <c r="W79" s="18" cm="1">
        <f t="array" aca="1" ref="W79" ca="1">IF(Q79="",0,INDEX(データベース!$F$2:$F$5,MATCH(Q79,データベース!$E$2:$E$5,0)))*1000
+IF(R79="",0,INDEX(データベース!$D$41:$D$44,MATCH(R79,OFFSET(データベース!$A$41,0,IF(Q79="",0,INDEX(データベース!$F$2:$F$5,MATCH(Q79,データベース!$E$2:$E$5,0)))-1,4,1),0),))*100
+IF(T79="",0,INDEX(データベース!$D$48:$D$52,MATCH(T79,OFFSET(データベース!$A$48,0,IF(Q79="",0,INDEX(データベース!$F$2:$F$5,MATCH(Q79,データベース!$E$2:$E$5,0)))-1,5,1),0),))*10
+IF(V79="",0,INDEX(データベース!$D$56:$D$62,MATCH(V79,OFFSET(データベース!$A$56,0,IF(Q79="",0,INDEX(データベース!$F$2:$F$5,MATCH(Q79,データベース!$E$2:$E$5,0)))-1,7,1),0),))</f>
        <v>0</v>
      </c>
      <c r="Y79">
        <f>IF(X79="",0,INDEX(データベース!$H$2:$H$4,MATCH(X79,データベース!$G$2:$G$4,0)))</f>
        <v>0</v>
      </c>
      <c r="AB79" s="9" t="str">
        <f t="shared" si="10"/>
        <v>服装・</v>
      </c>
      <c r="AD79" s="9" t="str">
        <f t="shared" si="11"/>
        <v>感情・</v>
      </c>
      <c r="AF79" s="9" cm="1">
        <f t="array" aca="1" ref="AF79" ca="1">IF(Z79="",0,INDEX(データベース!$F$2:$F$5,MATCH(Z79,データベース!$E$2:$E$5,0)))*1000
+IF(AA79="",0,INDEX(データベース!$D$41:$D$44,MATCH(AA79,OFFSET(データベース!$A$41,0,IF(Z79="",0,INDEX(データベース!$F$2:$F$5,MATCH(Z79,データベース!$E$2:$E$5,0)))-1,4,1),0),))*100
+IF(AC79="",0,INDEX(データベース!$D$48:$D$52,MATCH(AC79,OFFSET(データベース!$A$48,0,IF(Z79="",0,INDEX(データベース!$F$2:$F$5,MATCH(Z79,データベース!$E$2:$E$5,0)))-1,5,1),0),))*10
+IF(AE79="",0,INDEX(データベース!$D$56:$D$62,MATCH(AE79,OFFSET(データベース!$A$56,0,IF(Z79="",0,INDEX(データベース!$F$2:$F$5,MATCH(Z79,データベース!$E$2:$E$5,0)))-1,7,1),0),))</f>
        <v>0</v>
      </c>
      <c r="AH79">
        <f>IF(AG79="",0,INDEX(データベース!$H$2:$H$4,MATCH(AG79,データベース!$G$2:$G$4,0)))</f>
        <v>0</v>
      </c>
      <c r="AJ79">
        <f>IF(AI79="",0,INDEX(データベース!J$2:J$2,MATCH(AI79,データベース!I$2:I$2,0)))</f>
        <v>0</v>
      </c>
      <c r="AL79">
        <f>IF(AK79="",0,INDEX(データベース!L$2:L$3,MATCH(AK79,データベース!K$2:K$3,0)))</f>
        <v>0</v>
      </c>
      <c r="AN79">
        <f>IF(AM79="",0,INDEX(データベース!N$2:N$5,MATCH(AM79,データベース!M$2:M$5,0)))</f>
        <v>0</v>
      </c>
      <c r="AO79" s="4"/>
      <c r="AP79">
        <f>IF(AO79="",0,INDEX(データベース!P$2:P$3,MATCH(AO79,データベース!O$2:O$3,0)))</f>
        <v>0</v>
      </c>
      <c r="AR79">
        <f>IF(AQ79="",0,INDEX(データベース!R$2:R$27,MATCH(AQ79,データベース!Q$2:Q$27,0)))</f>
        <v>0</v>
      </c>
      <c r="AT79">
        <f>IF(AS79="",0,INDEX(データベース!T$2:T$4,MATCH(AS79,データベース!S$2:S$4,0)))</f>
        <v>0</v>
      </c>
      <c r="AV79">
        <f>IF(AU79="",0,INDEX(データベース!V$2:V$37,MATCH(AU79,データベース!U$2:U$37,0)))</f>
        <v>0</v>
      </c>
      <c r="AX79">
        <v>0</v>
      </c>
      <c r="AZ79">
        <v>0</v>
      </c>
      <c r="BB79">
        <v>0</v>
      </c>
    </row>
    <row r="80" spans="2:54">
      <c r="B80">
        <v>0</v>
      </c>
      <c r="G80">
        <f>IF(F80="",0,INDEX(データベース!D$2:D$4,MATCH(F80,データベース!C$2:C$4,0)))</f>
        <v>0</v>
      </c>
      <c r="J80" s="19" t="str">
        <f t="shared" si="6"/>
        <v>服装・</v>
      </c>
      <c r="L80" s="19" t="str">
        <f t="shared" si="7"/>
        <v>感情・</v>
      </c>
      <c r="N80" s="19" cm="1">
        <f t="array" aca="1" ref="N80" ca="1">IF(H80="",0,INDEX(データベース!$F$2:$F$5,MATCH(H80,データベース!$E$2:$E$5,0)))*1000
+IF(I80="",0,INDEX(データベース!$D$41:$D$44,MATCH(I80,OFFSET(データベース!$A$41,0,IF(H80="",0,INDEX(データベース!$F$2:$F$5,MATCH(H80,データベース!$E$2:$E$5,0)))-1,4,1),0),))*100
+IF(K80="",0,INDEX(データベース!$D$48:$D$52,MATCH(K80,OFFSET(データベース!$A$48,0,IF(H80="",0,INDEX(データベース!$F$2:$F$5,MATCH(H80,データベース!$E$2:$E$5,0)))-1,5,1),0),))*10
+IF(M80="",0,INDEX(データベース!$D$56:$D$62,MATCH(M80,OFFSET(データベース!$A$56,0,IF(H80="",0,INDEX(データベース!$F$2:$F$5,MATCH(H80,データベース!$E$2:$E$5,0)))-1,7,1),0),))</f>
        <v>0</v>
      </c>
      <c r="P80">
        <f>IF(O80="",0,INDEX(データベース!$H$2:$H$4,MATCH(O80,データベース!$G$2:$G$4,0)))</f>
        <v>0</v>
      </c>
      <c r="S80" s="18" t="str">
        <f t="shared" si="8"/>
        <v>服装・</v>
      </c>
      <c r="U80" s="18" t="str">
        <f t="shared" si="9"/>
        <v>感情・</v>
      </c>
      <c r="W80" s="18" cm="1">
        <f t="array" aca="1" ref="W80" ca="1">IF(Q80="",0,INDEX(データベース!$F$2:$F$5,MATCH(Q80,データベース!$E$2:$E$5,0)))*1000
+IF(R80="",0,INDEX(データベース!$D$41:$D$44,MATCH(R80,OFFSET(データベース!$A$41,0,IF(Q80="",0,INDEX(データベース!$F$2:$F$5,MATCH(Q80,データベース!$E$2:$E$5,0)))-1,4,1),0),))*100
+IF(T80="",0,INDEX(データベース!$D$48:$D$52,MATCH(T80,OFFSET(データベース!$A$48,0,IF(Q80="",0,INDEX(データベース!$F$2:$F$5,MATCH(Q80,データベース!$E$2:$E$5,0)))-1,5,1),0),))*10
+IF(V80="",0,INDEX(データベース!$D$56:$D$62,MATCH(V80,OFFSET(データベース!$A$56,0,IF(Q80="",0,INDEX(データベース!$F$2:$F$5,MATCH(Q80,データベース!$E$2:$E$5,0)))-1,7,1),0),))</f>
        <v>0</v>
      </c>
      <c r="Y80">
        <f>IF(X80="",0,INDEX(データベース!$H$2:$H$4,MATCH(X80,データベース!$G$2:$G$4,0)))</f>
        <v>0</v>
      </c>
      <c r="AB80" s="9" t="str">
        <f t="shared" si="10"/>
        <v>服装・</v>
      </c>
      <c r="AD80" s="9" t="str">
        <f t="shared" si="11"/>
        <v>感情・</v>
      </c>
      <c r="AF80" s="9" cm="1">
        <f t="array" aca="1" ref="AF80" ca="1">IF(Z80="",0,INDEX(データベース!$F$2:$F$5,MATCH(Z80,データベース!$E$2:$E$5,0)))*1000
+IF(AA80="",0,INDEX(データベース!$D$41:$D$44,MATCH(AA80,OFFSET(データベース!$A$41,0,IF(Z80="",0,INDEX(データベース!$F$2:$F$5,MATCH(Z80,データベース!$E$2:$E$5,0)))-1,4,1),0),))*100
+IF(AC80="",0,INDEX(データベース!$D$48:$D$52,MATCH(AC80,OFFSET(データベース!$A$48,0,IF(Z80="",0,INDEX(データベース!$F$2:$F$5,MATCH(Z80,データベース!$E$2:$E$5,0)))-1,5,1),0),))*10
+IF(AE80="",0,INDEX(データベース!$D$56:$D$62,MATCH(AE80,OFFSET(データベース!$A$56,0,IF(Z80="",0,INDEX(データベース!$F$2:$F$5,MATCH(Z80,データベース!$E$2:$E$5,0)))-1,7,1),0),))</f>
        <v>0</v>
      </c>
      <c r="AH80">
        <f>IF(AG80="",0,INDEX(データベース!$H$2:$H$4,MATCH(AG80,データベース!$G$2:$G$4,0)))</f>
        <v>0</v>
      </c>
      <c r="AJ80">
        <f>IF(AI80="",0,INDEX(データベース!J$2:J$2,MATCH(AI80,データベース!I$2:I$2,0)))</f>
        <v>0</v>
      </c>
      <c r="AL80">
        <f>IF(AK80="",0,INDEX(データベース!L$2:L$3,MATCH(AK80,データベース!K$2:K$3,0)))</f>
        <v>0</v>
      </c>
      <c r="AN80">
        <f>IF(AM80="",0,INDEX(データベース!N$2:N$5,MATCH(AM80,データベース!M$2:M$5,0)))</f>
        <v>0</v>
      </c>
      <c r="AO80" s="4"/>
      <c r="AP80">
        <f>IF(AO80="",0,INDEX(データベース!P$2:P$3,MATCH(AO80,データベース!O$2:O$3,0)))</f>
        <v>0</v>
      </c>
      <c r="AR80">
        <f>IF(AQ80="",0,INDEX(データベース!R$2:R$27,MATCH(AQ80,データベース!Q$2:Q$27,0)))</f>
        <v>0</v>
      </c>
      <c r="AT80">
        <f>IF(AS80="",0,INDEX(データベース!T$2:T$4,MATCH(AS80,データベース!S$2:S$4,0)))</f>
        <v>0</v>
      </c>
      <c r="AV80">
        <f>IF(AU80="",0,INDEX(データベース!V$2:V$37,MATCH(AU80,データベース!U$2:U$37,0)))</f>
        <v>0</v>
      </c>
      <c r="AX80">
        <v>0</v>
      </c>
      <c r="AZ80">
        <v>0</v>
      </c>
      <c r="BB80">
        <v>0</v>
      </c>
    </row>
    <row r="81" spans="2:54">
      <c r="B81">
        <v>0</v>
      </c>
      <c r="G81">
        <f>IF(F81="",0,INDEX(データベース!D$2:D$4,MATCH(F81,データベース!C$2:C$4,0)))</f>
        <v>0</v>
      </c>
      <c r="J81" s="19" t="str">
        <f t="shared" si="6"/>
        <v>服装・</v>
      </c>
      <c r="L81" s="19" t="str">
        <f t="shared" si="7"/>
        <v>感情・</v>
      </c>
      <c r="N81" s="19" cm="1">
        <f t="array" aca="1" ref="N81" ca="1">IF(H81="",0,INDEX(データベース!$F$2:$F$5,MATCH(H81,データベース!$E$2:$E$5,0)))*1000
+IF(I81="",0,INDEX(データベース!$D$41:$D$44,MATCH(I81,OFFSET(データベース!$A$41,0,IF(H81="",0,INDEX(データベース!$F$2:$F$5,MATCH(H81,データベース!$E$2:$E$5,0)))-1,4,1),0),))*100
+IF(K81="",0,INDEX(データベース!$D$48:$D$52,MATCH(K81,OFFSET(データベース!$A$48,0,IF(H81="",0,INDEX(データベース!$F$2:$F$5,MATCH(H81,データベース!$E$2:$E$5,0)))-1,5,1),0),))*10
+IF(M81="",0,INDEX(データベース!$D$56:$D$62,MATCH(M81,OFFSET(データベース!$A$56,0,IF(H81="",0,INDEX(データベース!$F$2:$F$5,MATCH(H81,データベース!$E$2:$E$5,0)))-1,7,1),0),))</f>
        <v>0</v>
      </c>
      <c r="P81">
        <f>IF(O81="",0,INDEX(データベース!$H$2:$H$4,MATCH(O81,データベース!$G$2:$G$4,0)))</f>
        <v>0</v>
      </c>
      <c r="S81" s="18" t="str">
        <f t="shared" si="8"/>
        <v>服装・</v>
      </c>
      <c r="U81" s="18" t="str">
        <f t="shared" si="9"/>
        <v>感情・</v>
      </c>
      <c r="W81" s="18" cm="1">
        <f t="array" aca="1" ref="W81" ca="1">IF(Q81="",0,INDEX(データベース!$F$2:$F$5,MATCH(Q81,データベース!$E$2:$E$5,0)))*1000
+IF(R81="",0,INDEX(データベース!$D$41:$D$44,MATCH(R81,OFFSET(データベース!$A$41,0,IF(Q81="",0,INDEX(データベース!$F$2:$F$5,MATCH(Q81,データベース!$E$2:$E$5,0)))-1,4,1),0),))*100
+IF(T81="",0,INDEX(データベース!$D$48:$D$52,MATCH(T81,OFFSET(データベース!$A$48,0,IF(Q81="",0,INDEX(データベース!$F$2:$F$5,MATCH(Q81,データベース!$E$2:$E$5,0)))-1,5,1),0),))*10
+IF(V81="",0,INDEX(データベース!$D$56:$D$62,MATCH(V81,OFFSET(データベース!$A$56,0,IF(Q81="",0,INDEX(データベース!$F$2:$F$5,MATCH(Q81,データベース!$E$2:$E$5,0)))-1,7,1),0),))</f>
        <v>0</v>
      </c>
      <c r="Y81">
        <f>IF(X81="",0,INDEX(データベース!$H$2:$H$4,MATCH(X81,データベース!$G$2:$G$4,0)))</f>
        <v>0</v>
      </c>
      <c r="AB81" s="9" t="str">
        <f t="shared" si="10"/>
        <v>服装・</v>
      </c>
      <c r="AD81" s="9" t="str">
        <f t="shared" si="11"/>
        <v>感情・</v>
      </c>
      <c r="AF81" s="9" cm="1">
        <f t="array" aca="1" ref="AF81" ca="1">IF(Z81="",0,INDEX(データベース!$F$2:$F$5,MATCH(Z81,データベース!$E$2:$E$5,0)))*1000
+IF(AA81="",0,INDEX(データベース!$D$41:$D$44,MATCH(AA81,OFFSET(データベース!$A$41,0,IF(Z81="",0,INDEX(データベース!$F$2:$F$5,MATCH(Z81,データベース!$E$2:$E$5,0)))-1,4,1),0),))*100
+IF(AC81="",0,INDEX(データベース!$D$48:$D$52,MATCH(AC81,OFFSET(データベース!$A$48,0,IF(Z81="",0,INDEX(データベース!$F$2:$F$5,MATCH(Z81,データベース!$E$2:$E$5,0)))-1,5,1),0),))*10
+IF(AE81="",0,INDEX(データベース!$D$56:$D$62,MATCH(AE81,OFFSET(データベース!$A$56,0,IF(Z81="",0,INDEX(データベース!$F$2:$F$5,MATCH(Z81,データベース!$E$2:$E$5,0)))-1,7,1),0),))</f>
        <v>0</v>
      </c>
      <c r="AH81">
        <f>IF(AG81="",0,INDEX(データベース!$H$2:$H$4,MATCH(AG81,データベース!$G$2:$G$4,0)))</f>
        <v>0</v>
      </c>
      <c r="AJ81">
        <f>IF(AI81="",0,INDEX(データベース!J$2:J$2,MATCH(AI81,データベース!I$2:I$2,0)))</f>
        <v>0</v>
      </c>
      <c r="AL81">
        <f>IF(AK81="",0,INDEX(データベース!L$2:L$3,MATCH(AK81,データベース!K$2:K$3,0)))</f>
        <v>0</v>
      </c>
      <c r="AN81">
        <f>IF(AM81="",0,INDEX(データベース!N$2:N$5,MATCH(AM81,データベース!M$2:M$5,0)))</f>
        <v>0</v>
      </c>
      <c r="AO81" s="4"/>
      <c r="AP81">
        <f>IF(AO81="",0,INDEX(データベース!P$2:P$3,MATCH(AO81,データベース!O$2:O$3,0)))</f>
        <v>0</v>
      </c>
      <c r="AR81">
        <f>IF(AQ81="",0,INDEX(データベース!R$2:R$27,MATCH(AQ81,データベース!Q$2:Q$27,0)))</f>
        <v>0</v>
      </c>
      <c r="AT81">
        <f>IF(AS81="",0,INDEX(データベース!T$2:T$4,MATCH(AS81,データベース!S$2:S$4,0)))</f>
        <v>0</v>
      </c>
      <c r="AV81">
        <f>IF(AU81="",0,INDEX(データベース!V$2:V$37,MATCH(AU81,データベース!U$2:U$37,0)))</f>
        <v>0</v>
      </c>
      <c r="AX81">
        <v>0</v>
      </c>
      <c r="AZ81">
        <v>0</v>
      </c>
      <c r="BB81">
        <v>0</v>
      </c>
    </row>
    <row r="82" spans="2:54">
      <c r="B82">
        <v>0</v>
      </c>
      <c r="G82">
        <f>IF(F82="",0,INDEX(データベース!D$2:D$4,MATCH(F82,データベース!C$2:C$4,0)))</f>
        <v>0</v>
      </c>
      <c r="J82" s="19" t="str">
        <f t="shared" si="6"/>
        <v>服装・</v>
      </c>
      <c r="L82" s="19" t="str">
        <f t="shared" si="7"/>
        <v>感情・</v>
      </c>
      <c r="N82" s="19" cm="1">
        <f t="array" aca="1" ref="N82" ca="1">IF(H82="",0,INDEX(データベース!$F$2:$F$5,MATCH(H82,データベース!$E$2:$E$5,0)))*1000
+IF(I82="",0,INDEX(データベース!$D$41:$D$44,MATCH(I82,OFFSET(データベース!$A$41,0,IF(H82="",0,INDEX(データベース!$F$2:$F$5,MATCH(H82,データベース!$E$2:$E$5,0)))-1,4,1),0),))*100
+IF(K82="",0,INDEX(データベース!$D$48:$D$52,MATCH(K82,OFFSET(データベース!$A$48,0,IF(H82="",0,INDEX(データベース!$F$2:$F$5,MATCH(H82,データベース!$E$2:$E$5,0)))-1,5,1),0),))*10
+IF(M82="",0,INDEX(データベース!$D$56:$D$62,MATCH(M82,OFFSET(データベース!$A$56,0,IF(H82="",0,INDEX(データベース!$F$2:$F$5,MATCH(H82,データベース!$E$2:$E$5,0)))-1,7,1),0),))</f>
        <v>0</v>
      </c>
      <c r="P82">
        <f>IF(O82="",0,INDEX(データベース!$H$2:$H$4,MATCH(O82,データベース!$G$2:$G$4,0)))</f>
        <v>0</v>
      </c>
      <c r="S82" s="18" t="str">
        <f t="shared" si="8"/>
        <v>服装・</v>
      </c>
      <c r="U82" s="18" t="str">
        <f t="shared" si="9"/>
        <v>感情・</v>
      </c>
      <c r="W82" s="18" cm="1">
        <f t="array" aca="1" ref="W82" ca="1">IF(Q82="",0,INDEX(データベース!$F$2:$F$5,MATCH(Q82,データベース!$E$2:$E$5,0)))*1000
+IF(R82="",0,INDEX(データベース!$D$41:$D$44,MATCH(R82,OFFSET(データベース!$A$41,0,IF(Q82="",0,INDEX(データベース!$F$2:$F$5,MATCH(Q82,データベース!$E$2:$E$5,0)))-1,4,1),0),))*100
+IF(T82="",0,INDEX(データベース!$D$48:$D$52,MATCH(T82,OFFSET(データベース!$A$48,0,IF(Q82="",0,INDEX(データベース!$F$2:$F$5,MATCH(Q82,データベース!$E$2:$E$5,0)))-1,5,1),0),))*10
+IF(V82="",0,INDEX(データベース!$D$56:$D$62,MATCH(V82,OFFSET(データベース!$A$56,0,IF(Q82="",0,INDEX(データベース!$F$2:$F$5,MATCH(Q82,データベース!$E$2:$E$5,0)))-1,7,1),0),))</f>
        <v>0</v>
      </c>
      <c r="Y82">
        <f>IF(X82="",0,INDEX(データベース!$H$2:$H$4,MATCH(X82,データベース!$G$2:$G$4,0)))</f>
        <v>0</v>
      </c>
      <c r="AB82" s="9" t="str">
        <f t="shared" si="10"/>
        <v>服装・</v>
      </c>
      <c r="AD82" s="9" t="str">
        <f t="shared" si="11"/>
        <v>感情・</v>
      </c>
      <c r="AF82" s="9" cm="1">
        <f t="array" aca="1" ref="AF82" ca="1">IF(Z82="",0,INDEX(データベース!$F$2:$F$5,MATCH(Z82,データベース!$E$2:$E$5,0)))*1000
+IF(AA82="",0,INDEX(データベース!$D$41:$D$44,MATCH(AA82,OFFSET(データベース!$A$41,0,IF(Z82="",0,INDEX(データベース!$F$2:$F$5,MATCH(Z82,データベース!$E$2:$E$5,0)))-1,4,1),0),))*100
+IF(AC82="",0,INDEX(データベース!$D$48:$D$52,MATCH(AC82,OFFSET(データベース!$A$48,0,IF(Z82="",0,INDEX(データベース!$F$2:$F$5,MATCH(Z82,データベース!$E$2:$E$5,0)))-1,5,1),0),))*10
+IF(AE82="",0,INDEX(データベース!$D$56:$D$62,MATCH(AE82,OFFSET(データベース!$A$56,0,IF(Z82="",0,INDEX(データベース!$F$2:$F$5,MATCH(Z82,データベース!$E$2:$E$5,0)))-1,7,1),0),))</f>
        <v>0</v>
      </c>
      <c r="AH82">
        <f>IF(AG82="",0,INDEX(データベース!$H$2:$H$4,MATCH(AG82,データベース!$G$2:$G$4,0)))</f>
        <v>0</v>
      </c>
      <c r="AJ82">
        <f>IF(AI82="",0,INDEX(データベース!J$2:J$2,MATCH(AI82,データベース!I$2:I$2,0)))</f>
        <v>0</v>
      </c>
      <c r="AL82">
        <f>IF(AK82="",0,INDEX(データベース!L$2:L$3,MATCH(AK82,データベース!K$2:K$3,0)))</f>
        <v>0</v>
      </c>
      <c r="AN82">
        <f>IF(AM82="",0,INDEX(データベース!N$2:N$5,MATCH(AM82,データベース!M$2:M$5,0)))</f>
        <v>0</v>
      </c>
      <c r="AO82" s="4"/>
      <c r="AP82">
        <f>IF(AO82="",0,INDEX(データベース!P$2:P$3,MATCH(AO82,データベース!O$2:O$3,0)))</f>
        <v>0</v>
      </c>
      <c r="AR82">
        <f>IF(AQ82="",0,INDEX(データベース!R$2:R$27,MATCH(AQ82,データベース!Q$2:Q$27,0)))</f>
        <v>0</v>
      </c>
      <c r="AT82">
        <f>IF(AS82="",0,INDEX(データベース!T$2:T$4,MATCH(AS82,データベース!S$2:S$4,0)))</f>
        <v>0</v>
      </c>
      <c r="AV82">
        <f>IF(AU82="",0,INDEX(データベース!V$2:V$37,MATCH(AU82,データベース!U$2:U$37,0)))</f>
        <v>0</v>
      </c>
      <c r="AX82">
        <v>0</v>
      </c>
      <c r="AZ82">
        <v>0</v>
      </c>
      <c r="BB82">
        <v>0</v>
      </c>
    </row>
    <row r="83" spans="2:54">
      <c r="B83">
        <v>0</v>
      </c>
      <c r="G83">
        <f>IF(F83="",0,INDEX(データベース!D$2:D$4,MATCH(F83,データベース!C$2:C$4,0)))</f>
        <v>0</v>
      </c>
      <c r="J83" s="19" t="str">
        <f t="shared" si="6"/>
        <v>服装・</v>
      </c>
      <c r="L83" s="19" t="str">
        <f t="shared" si="7"/>
        <v>感情・</v>
      </c>
      <c r="N83" s="19" cm="1">
        <f t="array" aca="1" ref="N83" ca="1">IF(H83="",0,INDEX(データベース!$F$2:$F$5,MATCH(H83,データベース!$E$2:$E$5,0)))*1000
+IF(I83="",0,INDEX(データベース!$D$41:$D$44,MATCH(I83,OFFSET(データベース!$A$41,0,IF(H83="",0,INDEX(データベース!$F$2:$F$5,MATCH(H83,データベース!$E$2:$E$5,0)))-1,4,1),0),))*100
+IF(K83="",0,INDEX(データベース!$D$48:$D$52,MATCH(K83,OFFSET(データベース!$A$48,0,IF(H83="",0,INDEX(データベース!$F$2:$F$5,MATCH(H83,データベース!$E$2:$E$5,0)))-1,5,1),0),))*10
+IF(M83="",0,INDEX(データベース!$D$56:$D$62,MATCH(M83,OFFSET(データベース!$A$56,0,IF(H83="",0,INDEX(データベース!$F$2:$F$5,MATCH(H83,データベース!$E$2:$E$5,0)))-1,7,1),0),))</f>
        <v>0</v>
      </c>
      <c r="P83">
        <f>IF(O83="",0,INDEX(データベース!$H$2:$H$4,MATCH(O83,データベース!$G$2:$G$4,0)))</f>
        <v>0</v>
      </c>
      <c r="S83" s="18" t="str">
        <f t="shared" si="8"/>
        <v>服装・</v>
      </c>
      <c r="U83" s="18" t="str">
        <f t="shared" si="9"/>
        <v>感情・</v>
      </c>
      <c r="W83" s="18" cm="1">
        <f t="array" aca="1" ref="W83" ca="1">IF(Q83="",0,INDEX(データベース!$F$2:$F$5,MATCH(Q83,データベース!$E$2:$E$5,0)))*1000
+IF(R83="",0,INDEX(データベース!$D$41:$D$44,MATCH(R83,OFFSET(データベース!$A$41,0,IF(Q83="",0,INDEX(データベース!$F$2:$F$5,MATCH(Q83,データベース!$E$2:$E$5,0)))-1,4,1),0),))*100
+IF(T83="",0,INDEX(データベース!$D$48:$D$52,MATCH(T83,OFFSET(データベース!$A$48,0,IF(Q83="",0,INDEX(データベース!$F$2:$F$5,MATCH(Q83,データベース!$E$2:$E$5,0)))-1,5,1),0),))*10
+IF(V83="",0,INDEX(データベース!$D$56:$D$62,MATCH(V83,OFFSET(データベース!$A$56,0,IF(Q83="",0,INDEX(データベース!$F$2:$F$5,MATCH(Q83,データベース!$E$2:$E$5,0)))-1,7,1),0),))</f>
        <v>0</v>
      </c>
      <c r="Y83">
        <f>IF(X83="",0,INDEX(データベース!$H$2:$H$4,MATCH(X83,データベース!$G$2:$G$4,0)))</f>
        <v>0</v>
      </c>
      <c r="AB83" s="9" t="str">
        <f t="shared" si="10"/>
        <v>服装・</v>
      </c>
      <c r="AD83" s="9" t="str">
        <f t="shared" si="11"/>
        <v>感情・</v>
      </c>
      <c r="AF83" s="9" cm="1">
        <f t="array" aca="1" ref="AF83" ca="1">IF(Z83="",0,INDEX(データベース!$F$2:$F$5,MATCH(Z83,データベース!$E$2:$E$5,0)))*1000
+IF(AA83="",0,INDEX(データベース!$D$41:$D$44,MATCH(AA83,OFFSET(データベース!$A$41,0,IF(Z83="",0,INDEX(データベース!$F$2:$F$5,MATCH(Z83,データベース!$E$2:$E$5,0)))-1,4,1),0),))*100
+IF(AC83="",0,INDEX(データベース!$D$48:$D$52,MATCH(AC83,OFFSET(データベース!$A$48,0,IF(Z83="",0,INDEX(データベース!$F$2:$F$5,MATCH(Z83,データベース!$E$2:$E$5,0)))-1,5,1),0),))*10
+IF(AE83="",0,INDEX(データベース!$D$56:$D$62,MATCH(AE83,OFFSET(データベース!$A$56,0,IF(Z83="",0,INDEX(データベース!$F$2:$F$5,MATCH(Z83,データベース!$E$2:$E$5,0)))-1,7,1),0),))</f>
        <v>0</v>
      </c>
      <c r="AH83">
        <f>IF(AG83="",0,INDEX(データベース!$H$2:$H$4,MATCH(AG83,データベース!$G$2:$G$4,0)))</f>
        <v>0</v>
      </c>
      <c r="AJ83">
        <f>IF(AI83="",0,INDEX(データベース!J$2:J$2,MATCH(AI83,データベース!I$2:I$2,0)))</f>
        <v>0</v>
      </c>
      <c r="AL83">
        <f>IF(AK83="",0,INDEX(データベース!L$2:L$3,MATCH(AK83,データベース!K$2:K$3,0)))</f>
        <v>0</v>
      </c>
      <c r="AN83">
        <f>IF(AM83="",0,INDEX(データベース!N$2:N$5,MATCH(AM83,データベース!M$2:M$5,0)))</f>
        <v>0</v>
      </c>
      <c r="AO83" s="4"/>
      <c r="AP83">
        <f>IF(AO83="",0,INDEX(データベース!P$2:P$3,MATCH(AO83,データベース!O$2:O$3,0)))</f>
        <v>0</v>
      </c>
      <c r="AR83">
        <f>IF(AQ83="",0,INDEX(データベース!R$2:R$27,MATCH(AQ83,データベース!Q$2:Q$27,0)))</f>
        <v>0</v>
      </c>
      <c r="AT83">
        <f>IF(AS83="",0,INDEX(データベース!T$2:T$4,MATCH(AS83,データベース!S$2:S$4,0)))</f>
        <v>0</v>
      </c>
      <c r="AV83">
        <f>IF(AU83="",0,INDEX(データベース!V$2:V$37,MATCH(AU83,データベース!U$2:U$37,0)))</f>
        <v>0</v>
      </c>
      <c r="AX83">
        <v>0</v>
      </c>
      <c r="AZ83">
        <v>0</v>
      </c>
      <c r="BB83">
        <v>0</v>
      </c>
    </row>
    <row r="84" spans="2:54">
      <c r="B84">
        <v>0</v>
      </c>
      <c r="G84">
        <f>IF(F84="",0,INDEX(データベース!D$2:D$4,MATCH(F84,データベース!C$2:C$4,0)))</f>
        <v>0</v>
      </c>
      <c r="J84" s="19" t="str">
        <f t="shared" si="6"/>
        <v>服装・</v>
      </c>
      <c r="L84" s="19" t="str">
        <f t="shared" si="7"/>
        <v>感情・</v>
      </c>
      <c r="N84" s="19" cm="1">
        <f t="array" aca="1" ref="N84" ca="1">IF(H84="",0,INDEX(データベース!$F$2:$F$5,MATCH(H84,データベース!$E$2:$E$5,0)))*1000
+IF(I84="",0,INDEX(データベース!$D$41:$D$44,MATCH(I84,OFFSET(データベース!$A$41,0,IF(H84="",0,INDEX(データベース!$F$2:$F$5,MATCH(H84,データベース!$E$2:$E$5,0)))-1,4,1),0),))*100
+IF(K84="",0,INDEX(データベース!$D$48:$D$52,MATCH(K84,OFFSET(データベース!$A$48,0,IF(H84="",0,INDEX(データベース!$F$2:$F$5,MATCH(H84,データベース!$E$2:$E$5,0)))-1,5,1),0),))*10
+IF(M84="",0,INDEX(データベース!$D$56:$D$62,MATCH(M84,OFFSET(データベース!$A$56,0,IF(H84="",0,INDEX(データベース!$F$2:$F$5,MATCH(H84,データベース!$E$2:$E$5,0)))-1,7,1),0),))</f>
        <v>0</v>
      </c>
      <c r="P84">
        <f>IF(O84="",0,INDEX(データベース!$H$2:$H$4,MATCH(O84,データベース!$G$2:$G$4,0)))</f>
        <v>0</v>
      </c>
      <c r="S84" s="18" t="str">
        <f t="shared" si="8"/>
        <v>服装・</v>
      </c>
      <c r="U84" s="18" t="str">
        <f t="shared" si="9"/>
        <v>感情・</v>
      </c>
      <c r="W84" s="18" cm="1">
        <f t="array" aca="1" ref="W84" ca="1">IF(Q84="",0,INDEX(データベース!$F$2:$F$5,MATCH(Q84,データベース!$E$2:$E$5,0)))*1000
+IF(R84="",0,INDEX(データベース!$D$41:$D$44,MATCH(R84,OFFSET(データベース!$A$41,0,IF(Q84="",0,INDEX(データベース!$F$2:$F$5,MATCH(Q84,データベース!$E$2:$E$5,0)))-1,4,1),0),))*100
+IF(T84="",0,INDEX(データベース!$D$48:$D$52,MATCH(T84,OFFSET(データベース!$A$48,0,IF(Q84="",0,INDEX(データベース!$F$2:$F$5,MATCH(Q84,データベース!$E$2:$E$5,0)))-1,5,1),0),))*10
+IF(V84="",0,INDEX(データベース!$D$56:$D$62,MATCH(V84,OFFSET(データベース!$A$56,0,IF(Q84="",0,INDEX(データベース!$F$2:$F$5,MATCH(Q84,データベース!$E$2:$E$5,0)))-1,7,1),0),))</f>
        <v>0</v>
      </c>
      <c r="Y84">
        <f>IF(X84="",0,INDEX(データベース!$H$2:$H$4,MATCH(X84,データベース!$G$2:$G$4,0)))</f>
        <v>0</v>
      </c>
      <c r="AB84" s="9" t="str">
        <f t="shared" si="10"/>
        <v>服装・</v>
      </c>
      <c r="AD84" s="9" t="str">
        <f t="shared" si="11"/>
        <v>感情・</v>
      </c>
      <c r="AF84" s="9" cm="1">
        <f t="array" aca="1" ref="AF84" ca="1">IF(Z84="",0,INDEX(データベース!$F$2:$F$5,MATCH(Z84,データベース!$E$2:$E$5,0)))*1000
+IF(AA84="",0,INDEX(データベース!$D$41:$D$44,MATCH(AA84,OFFSET(データベース!$A$41,0,IF(Z84="",0,INDEX(データベース!$F$2:$F$5,MATCH(Z84,データベース!$E$2:$E$5,0)))-1,4,1),0),))*100
+IF(AC84="",0,INDEX(データベース!$D$48:$D$52,MATCH(AC84,OFFSET(データベース!$A$48,0,IF(Z84="",0,INDEX(データベース!$F$2:$F$5,MATCH(Z84,データベース!$E$2:$E$5,0)))-1,5,1),0),))*10
+IF(AE84="",0,INDEX(データベース!$D$56:$D$62,MATCH(AE84,OFFSET(データベース!$A$56,0,IF(Z84="",0,INDEX(データベース!$F$2:$F$5,MATCH(Z84,データベース!$E$2:$E$5,0)))-1,7,1),0),))</f>
        <v>0</v>
      </c>
      <c r="AH84">
        <f>IF(AG84="",0,INDEX(データベース!$H$2:$H$4,MATCH(AG84,データベース!$G$2:$G$4,0)))</f>
        <v>0</v>
      </c>
      <c r="AJ84">
        <f>IF(AI84="",0,INDEX(データベース!J$2:J$2,MATCH(AI84,データベース!I$2:I$2,0)))</f>
        <v>0</v>
      </c>
      <c r="AL84">
        <f>IF(AK84="",0,INDEX(データベース!L$2:L$3,MATCH(AK84,データベース!K$2:K$3,0)))</f>
        <v>0</v>
      </c>
      <c r="AN84">
        <f>IF(AM84="",0,INDEX(データベース!N$2:N$5,MATCH(AM84,データベース!M$2:M$5,0)))</f>
        <v>0</v>
      </c>
      <c r="AO84" s="4"/>
      <c r="AP84">
        <f>IF(AO84="",0,INDEX(データベース!P$2:P$3,MATCH(AO84,データベース!O$2:O$3,0)))</f>
        <v>0</v>
      </c>
      <c r="AR84">
        <f>IF(AQ84="",0,INDEX(データベース!R$2:R$27,MATCH(AQ84,データベース!Q$2:Q$27,0)))</f>
        <v>0</v>
      </c>
      <c r="AT84">
        <f>IF(AS84="",0,INDEX(データベース!T$2:T$4,MATCH(AS84,データベース!S$2:S$4,0)))</f>
        <v>0</v>
      </c>
      <c r="AV84">
        <f>IF(AU84="",0,INDEX(データベース!V$2:V$37,MATCH(AU84,データベース!U$2:U$37,0)))</f>
        <v>0</v>
      </c>
      <c r="AX84">
        <v>0</v>
      </c>
      <c r="AZ84">
        <v>0</v>
      </c>
      <c r="BB84">
        <v>0</v>
      </c>
    </row>
    <row r="85" spans="2:54">
      <c r="B85">
        <v>0</v>
      </c>
      <c r="G85">
        <f>IF(F85="",0,INDEX(データベース!D$2:D$4,MATCH(F85,データベース!C$2:C$4,0)))</f>
        <v>0</v>
      </c>
      <c r="J85" s="19" t="str">
        <f t="shared" si="6"/>
        <v>服装・</v>
      </c>
      <c r="L85" s="19" t="str">
        <f t="shared" si="7"/>
        <v>感情・</v>
      </c>
      <c r="N85" s="19" cm="1">
        <f t="array" aca="1" ref="N85" ca="1">IF(H85="",0,INDEX(データベース!$F$2:$F$5,MATCH(H85,データベース!$E$2:$E$5,0)))*1000
+IF(I85="",0,INDEX(データベース!$D$41:$D$44,MATCH(I85,OFFSET(データベース!$A$41,0,IF(H85="",0,INDEX(データベース!$F$2:$F$5,MATCH(H85,データベース!$E$2:$E$5,0)))-1,4,1),0),))*100
+IF(K85="",0,INDEX(データベース!$D$48:$D$52,MATCH(K85,OFFSET(データベース!$A$48,0,IF(H85="",0,INDEX(データベース!$F$2:$F$5,MATCH(H85,データベース!$E$2:$E$5,0)))-1,5,1),0),))*10
+IF(M85="",0,INDEX(データベース!$D$56:$D$62,MATCH(M85,OFFSET(データベース!$A$56,0,IF(H85="",0,INDEX(データベース!$F$2:$F$5,MATCH(H85,データベース!$E$2:$E$5,0)))-1,7,1),0),))</f>
        <v>0</v>
      </c>
      <c r="P85">
        <f>IF(O85="",0,INDEX(データベース!$H$2:$H$4,MATCH(O85,データベース!$G$2:$G$4,0)))</f>
        <v>0</v>
      </c>
      <c r="S85" s="18" t="str">
        <f t="shared" si="8"/>
        <v>服装・</v>
      </c>
      <c r="U85" s="18" t="str">
        <f t="shared" si="9"/>
        <v>感情・</v>
      </c>
      <c r="W85" s="18" cm="1">
        <f t="array" aca="1" ref="W85" ca="1">IF(Q85="",0,INDEX(データベース!$F$2:$F$5,MATCH(Q85,データベース!$E$2:$E$5,0)))*1000
+IF(R85="",0,INDEX(データベース!$D$41:$D$44,MATCH(R85,OFFSET(データベース!$A$41,0,IF(Q85="",0,INDEX(データベース!$F$2:$F$5,MATCH(Q85,データベース!$E$2:$E$5,0)))-1,4,1),0),))*100
+IF(T85="",0,INDEX(データベース!$D$48:$D$52,MATCH(T85,OFFSET(データベース!$A$48,0,IF(Q85="",0,INDEX(データベース!$F$2:$F$5,MATCH(Q85,データベース!$E$2:$E$5,0)))-1,5,1),0),))*10
+IF(V85="",0,INDEX(データベース!$D$56:$D$62,MATCH(V85,OFFSET(データベース!$A$56,0,IF(Q85="",0,INDEX(データベース!$F$2:$F$5,MATCH(Q85,データベース!$E$2:$E$5,0)))-1,7,1),0),))</f>
        <v>0</v>
      </c>
      <c r="Y85">
        <f>IF(X85="",0,INDEX(データベース!$H$2:$H$4,MATCH(X85,データベース!$G$2:$G$4,0)))</f>
        <v>0</v>
      </c>
      <c r="AB85" s="9" t="str">
        <f t="shared" si="10"/>
        <v>服装・</v>
      </c>
      <c r="AD85" s="9" t="str">
        <f t="shared" si="11"/>
        <v>感情・</v>
      </c>
      <c r="AF85" s="9" cm="1">
        <f t="array" aca="1" ref="AF85" ca="1">IF(Z85="",0,INDEX(データベース!$F$2:$F$5,MATCH(Z85,データベース!$E$2:$E$5,0)))*1000
+IF(AA85="",0,INDEX(データベース!$D$41:$D$44,MATCH(AA85,OFFSET(データベース!$A$41,0,IF(Z85="",0,INDEX(データベース!$F$2:$F$5,MATCH(Z85,データベース!$E$2:$E$5,0)))-1,4,1),0),))*100
+IF(AC85="",0,INDEX(データベース!$D$48:$D$52,MATCH(AC85,OFFSET(データベース!$A$48,0,IF(Z85="",0,INDEX(データベース!$F$2:$F$5,MATCH(Z85,データベース!$E$2:$E$5,0)))-1,5,1),0),))*10
+IF(AE85="",0,INDEX(データベース!$D$56:$D$62,MATCH(AE85,OFFSET(データベース!$A$56,0,IF(Z85="",0,INDEX(データベース!$F$2:$F$5,MATCH(Z85,データベース!$E$2:$E$5,0)))-1,7,1),0),))</f>
        <v>0</v>
      </c>
      <c r="AH85">
        <f>IF(AG85="",0,INDEX(データベース!$H$2:$H$4,MATCH(AG85,データベース!$G$2:$G$4,0)))</f>
        <v>0</v>
      </c>
      <c r="AJ85">
        <f>IF(AI85="",0,INDEX(データベース!J$2:J$2,MATCH(AI85,データベース!I$2:I$2,0)))</f>
        <v>0</v>
      </c>
      <c r="AL85">
        <f>IF(AK85="",0,INDEX(データベース!L$2:L$3,MATCH(AK85,データベース!K$2:K$3,0)))</f>
        <v>0</v>
      </c>
      <c r="AN85">
        <f>IF(AM85="",0,INDEX(データベース!N$2:N$5,MATCH(AM85,データベース!M$2:M$5,0)))</f>
        <v>0</v>
      </c>
      <c r="AO85" s="4"/>
      <c r="AP85">
        <f>IF(AO85="",0,INDEX(データベース!P$2:P$3,MATCH(AO85,データベース!O$2:O$3,0)))</f>
        <v>0</v>
      </c>
      <c r="AR85">
        <f>IF(AQ85="",0,INDEX(データベース!R$2:R$27,MATCH(AQ85,データベース!Q$2:Q$27,0)))</f>
        <v>0</v>
      </c>
      <c r="AT85">
        <f>IF(AS85="",0,INDEX(データベース!T$2:T$4,MATCH(AS85,データベース!S$2:S$4,0)))</f>
        <v>0</v>
      </c>
      <c r="AV85">
        <f>IF(AU85="",0,INDEX(データベース!V$2:V$37,MATCH(AU85,データベース!U$2:U$37,0)))</f>
        <v>0</v>
      </c>
      <c r="AX85">
        <v>0</v>
      </c>
      <c r="AZ85">
        <v>0</v>
      </c>
      <c r="BB85">
        <v>0</v>
      </c>
    </row>
    <row r="86" spans="2:54">
      <c r="B86">
        <v>0</v>
      </c>
      <c r="G86">
        <f>IF(F86="",0,INDEX(データベース!D$2:D$4,MATCH(F86,データベース!C$2:C$4,0)))</f>
        <v>0</v>
      </c>
      <c r="J86" s="19" t="str">
        <f t="shared" si="6"/>
        <v>服装・</v>
      </c>
      <c r="L86" s="19" t="str">
        <f t="shared" si="7"/>
        <v>感情・</v>
      </c>
      <c r="N86" s="19" cm="1">
        <f t="array" aca="1" ref="N86" ca="1">IF(H86="",0,INDEX(データベース!$F$2:$F$5,MATCH(H86,データベース!$E$2:$E$5,0)))*1000
+IF(I86="",0,INDEX(データベース!$D$41:$D$44,MATCH(I86,OFFSET(データベース!$A$41,0,IF(H86="",0,INDEX(データベース!$F$2:$F$5,MATCH(H86,データベース!$E$2:$E$5,0)))-1,4,1),0),))*100
+IF(K86="",0,INDEX(データベース!$D$48:$D$52,MATCH(K86,OFFSET(データベース!$A$48,0,IF(H86="",0,INDEX(データベース!$F$2:$F$5,MATCH(H86,データベース!$E$2:$E$5,0)))-1,5,1),0),))*10
+IF(M86="",0,INDEX(データベース!$D$56:$D$62,MATCH(M86,OFFSET(データベース!$A$56,0,IF(H86="",0,INDEX(データベース!$F$2:$F$5,MATCH(H86,データベース!$E$2:$E$5,0)))-1,7,1),0),))</f>
        <v>0</v>
      </c>
      <c r="P86">
        <f>IF(O86="",0,INDEX(データベース!$H$2:$H$4,MATCH(O86,データベース!$G$2:$G$4,0)))</f>
        <v>0</v>
      </c>
      <c r="S86" s="18" t="str">
        <f t="shared" si="8"/>
        <v>服装・</v>
      </c>
      <c r="U86" s="18" t="str">
        <f t="shared" si="9"/>
        <v>感情・</v>
      </c>
      <c r="W86" s="18" cm="1">
        <f t="array" aca="1" ref="W86" ca="1">IF(Q86="",0,INDEX(データベース!$F$2:$F$5,MATCH(Q86,データベース!$E$2:$E$5,0)))*1000
+IF(R86="",0,INDEX(データベース!$D$41:$D$44,MATCH(R86,OFFSET(データベース!$A$41,0,IF(Q86="",0,INDEX(データベース!$F$2:$F$5,MATCH(Q86,データベース!$E$2:$E$5,0)))-1,4,1),0),))*100
+IF(T86="",0,INDEX(データベース!$D$48:$D$52,MATCH(T86,OFFSET(データベース!$A$48,0,IF(Q86="",0,INDEX(データベース!$F$2:$F$5,MATCH(Q86,データベース!$E$2:$E$5,0)))-1,5,1),0),))*10
+IF(V86="",0,INDEX(データベース!$D$56:$D$62,MATCH(V86,OFFSET(データベース!$A$56,0,IF(Q86="",0,INDEX(データベース!$F$2:$F$5,MATCH(Q86,データベース!$E$2:$E$5,0)))-1,7,1),0),))</f>
        <v>0</v>
      </c>
      <c r="Y86">
        <f>IF(X86="",0,INDEX(データベース!$H$2:$H$4,MATCH(X86,データベース!$G$2:$G$4,0)))</f>
        <v>0</v>
      </c>
      <c r="AB86" s="9" t="str">
        <f t="shared" si="10"/>
        <v>服装・</v>
      </c>
      <c r="AD86" s="9" t="str">
        <f t="shared" si="11"/>
        <v>感情・</v>
      </c>
      <c r="AF86" s="9" cm="1">
        <f t="array" aca="1" ref="AF86" ca="1">IF(Z86="",0,INDEX(データベース!$F$2:$F$5,MATCH(Z86,データベース!$E$2:$E$5,0)))*1000
+IF(AA86="",0,INDEX(データベース!$D$41:$D$44,MATCH(AA86,OFFSET(データベース!$A$41,0,IF(Z86="",0,INDEX(データベース!$F$2:$F$5,MATCH(Z86,データベース!$E$2:$E$5,0)))-1,4,1),0),))*100
+IF(AC86="",0,INDEX(データベース!$D$48:$D$52,MATCH(AC86,OFFSET(データベース!$A$48,0,IF(Z86="",0,INDEX(データベース!$F$2:$F$5,MATCH(Z86,データベース!$E$2:$E$5,0)))-1,5,1),0),))*10
+IF(AE86="",0,INDEX(データベース!$D$56:$D$62,MATCH(AE86,OFFSET(データベース!$A$56,0,IF(Z86="",0,INDEX(データベース!$F$2:$F$5,MATCH(Z86,データベース!$E$2:$E$5,0)))-1,7,1),0),))</f>
        <v>0</v>
      </c>
      <c r="AH86">
        <f>IF(AG86="",0,INDEX(データベース!$H$2:$H$4,MATCH(AG86,データベース!$G$2:$G$4,0)))</f>
        <v>0</v>
      </c>
      <c r="AJ86">
        <f>IF(AI86="",0,INDEX(データベース!J$2:J$2,MATCH(AI86,データベース!I$2:I$2,0)))</f>
        <v>0</v>
      </c>
      <c r="AL86">
        <f>IF(AK86="",0,INDEX(データベース!L$2:L$3,MATCH(AK86,データベース!K$2:K$3,0)))</f>
        <v>0</v>
      </c>
      <c r="AN86">
        <f>IF(AM86="",0,INDEX(データベース!N$2:N$5,MATCH(AM86,データベース!M$2:M$5,0)))</f>
        <v>0</v>
      </c>
      <c r="AO86" s="4"/>
      <c r="AP86">
        <f>IF(AO86="",0,INDEX(データベース!P$2:P$3,MATCH(AO86,データベース!O$2:O$3,0)))</f>
        <v>0</v>
      </c>
      <c r="AR86">
        <f>IF(AQ86="",0,INDEX(データベース!R$2:R$27,MATCH(AQ86,データベース!Q$2:Q$27,0)))</f>
        <v>0</v>
      </c>
      <c r="AT86">
        <f>IF(AS86="",0,INDEX(データベース!T$2:T$4,MATCH(AS86,データベース!S$2:S$4,0)))</f>
        <v>0</v>
      </c>
      <c r="AV86">
        <f>IF(AU86="",0,INDEX(データベース!V$2:V$37,MATCH(AU86,データベース!U$2:U$37,0)))</f>
        <v>0</v>
      </c>
      <c r="AX86">
        <v>0</v>
      </c>
      <c r="AZ86">
        <v>0</v>
      </c>
      <c r="BB86">
        <v>0</v>
      </c>
    </row>
    <row r="87" spans="2:54">
      <c r="B87">
        <v>0</v>
      </c>
      <c r="G87">
        <f>IF(F87="",0,INDEX(データベース!D$2:D$4,MATCH(F87,データベース!C$2:C$4,0)))</f>
        <v>0</v>
      </c>
      <c r="J87" s="19" t="str">
        <f t="shared" si="6"/>
        <v>服装・</v>
      </c>
      <c r="L87" s="19" t="str">
        <f t="shared" si="7"/>
        <v>感情・</v>
      </c>
      <c r="N87" s="19" cm="1">
        <f t="array" aca="1" ref="N87" ca="1">IF(H87="",0,INDEX(データベース!$F$2:$F$5,MATCH(H87,データベース!$E$2:$E$5,0)))*1000
+IF(I87="",0,INDEX(データベース!$D$41:$D$44,MATCH(I87,OFFSET(データベース!$A$41,0,IF(H87="",0,INDEX(データベース!$F$2:$F$5,MATCH(H87,データベース!$E$2:$E$5,0)))-1,4,1),0),))*100
+IF(K87="",0,INDEX(データベース!$D$48:$D$52,MATCH(K87,OFFSET(データベース!$A$48,0,IF(H87="",0,INDEX(データベース!$F$2:$F$5,MATCH(H87,データベース!$E$2:$E$5,0)))-1,5,1),0),))*10
+IF(M87="",0,INDEX(データベース!$D$56:$D$62,MATCH(M87,OFFSET(データベース!$A$56,0,IF(H87="",0,INDEX(データベース!$F$2:$F$5,MATCH(H87,データベース!$E$2:$E$5,0)))-1,7,1),0),))</f>
        <v>0</v>
      </c>
      <c r="P87">
        <f>IF(O87="",0,INDEX(データベース!$H$2:$H$4,MATCH(O87,データベース!$G$2:$G$4,0)))</f>
        <v>0</v>
      </c>
      <c r="S87" s="18" t="str">
        <f t="shared" si="8"/>
        <v>服装・</v>
      </c>
      <c r="U87" s="18" t="str">
        <f t="shared" si="9"/>
        <v>感情・</v>
      </c>
      <c r="W87" s="18" cm="1">
        <f t="array" aca="1" ref="W87" ca="1">IF(Q87="",0,INDEX(データベース!$F$2:$F$5,MATCH(Q87,データベース!$E$2:$E$5,0)))*1000
+IF(R87="",0,INDEX(データベース!$D$41:$D$44,MATCH(R87,OFFSET(データベース!$A$41,0,IF(Q87="",0,INDEX(データベース!$F$2:$F$5,MATCH(Q87,データベース!$E$2:$E$5,0)))-1,4,1),0),))*100
+IF(T87="",0,INDEX(データベース!$D$48:$D$52,MATCH(T87,OFFSET(データベース!$A$48,0,IF(Q87="",0,INDEX(データベース!$F$2:$F$5,MATCH(Q87,データベース!$E$2:$E$5,0)))-1,5,1),0),))*10
+IF(V87="",0,INDEX(データベース!$D$56:$D$62,MATCH(V87,OFFSET(データベース!$A$56,0,IF(Q87="",0,INDEX(データベース!$F$2:$F$5,MATCH(Q87,データベース!$E$2:$E$5,0)))-1,7,1),0),))</f>
        <v>0</v>
      </c>
      <c r="Y87">
        <f>IF(X87="",0,INDEX(データベース!$H$2:$H$4,MATCH(X87,データベース!$G$2:$G$4,0)))</f>
        <v>0</v>
      </c>
      <c r="AB87" s="9" t="str">
        <f t="shared" si="10"/>
        <v>服装・</v>
      </c>
      <c r="AD87" s="9" t="str">
        <f t="shared" si="11"/>
        <v>感情・</v>
      </c>
      <c r="AF87" s="9" cm="1">
        <f t="array" aca="1" ref="AF87" ca="1">IF(Z87="",0,INDEX(データベース!$F$2:$F$5,MATCH(Z87,データベース!$E$2:$E$5,0)))*1000
+IF(AA87="",0,INDEX(データベース!$D$41:$D$44,MATCH(AA87,OFFSET(データベース!$A$41,0,IF(Z87="",0,INDEX(データベース!$F$2:$F$5,MATCH(Z87,データベース!$E$2:$E$5,0)))-1,4,1),0),))*100
+IF(AC87="",0,INDEX(データベース!$D$48:$D$52,MATCH(AC87,OFFSET(データベース!$A$48,0,IF(Z87="",0,INDEX(データベース!$F$2:$F$5,MATCH(Z87,データベース!$E$2:$E$5,0)))-1,5,1),0),))*10
+IF(AE87="",0,INDEX(データベース!$D$56:$D$62,MATCH(AE87,OFFSET(データベース!$A$56,0,IF(Z87="",0,INDEX(データベース!$F$2:$F$5,MATCH(Z87,データベース!$E$2:$E$5,0)))-1,7,1),0),))</f>
        <v>0</v>
      </c>
      <c r="AH87">
        <f>IF(AG87="",0,INDEX(データベース!$H$2:$H$4,MATCH(AG87,データベース!$G$2:$G$4,0)))</f>
        <v>0</v>
      </c>
      <c r="AJ87">
        <f>IF(AI87="",0,INDEX(データベース!J$2:J$2,MATCH(AI87,データベース!I$2:I$2,0)))</f>
        <v>0</v>
      </c>
      <c r="AL87">
        <f>IF(AK87="",0,INDEX(データベース!L$2:L$3,MATCH(AK87,データベース!K$2:K$3,0)))</f>
        <v>0</v>
      </c>
      <c r="AN87">
        <f>IF(AM87="",0,INDEX(データベース!N$2:N$5,MATCH(AM87,データベース!M$2:M$5,0)))</f>
        <v>0</v>
      </c>
      <c r="AO87" s="4"/>
      <c r="AP87">
        <f>IF(AO87="",0,INDEX(データベース!P$2:P$3,MATCH(AO87,データベース!O$2:O$3,0)))</f>
        <v>0</v>
      </c>
      <c r="AR87">
        <f>IF(AQ87="",0,INDEX(データベース!R$2:R$27,MATCH(AQ87,データベース!Q$2:Q$27,0)))</f>
        <v>0</v>
      </c>
      <c r="AT87">
        <f>IF(AS87="",0,INDEX(データベース!T$2:T$4,MATCH(AS87,データベース!S$2:S$4,0)))</f>
        <v>0</v>
      </c>
      <c r="AV87">
        <f>IF(AU87="",0,INDEX(データベース!V$2:V$37,MATCH(AU87,データベース!U$2:U$37,0)))</f>
        <v>0</v>
      </c>
      <c r="AX87">
        <v>0</v>
      </c>
      <c r="AZ87">
        <v>0</v>
      </c>
      <c r="BB87">
        <v>0</v>
      </c>
    </row>
    <row r="88" spans="2:54">
      <c r="B88">
        <v>0</v>
      </c>
      <c r="G88">
        <f>IF(F88="",0,INDEX(データベース!D$2:D$4,MATCH(F88,データベース!C$2:C$4,0)))</f>
        <v>0</v>
      </c>
      <c r="J88" s="19" t="str">
        <f t="shared" si="6"/>
        <v>服装・</v>
      </c>
      <c r="L88" s="19" t="str">
        <f t="shared" si="7"/>
        <v>感情・</v>
      </c>
      <c r="N88" s="19" cm="1">
        <f t="array" aca="1" ref="N88" ca="1">IF(H88="",0,INDEX(データベース!$F$2:$F$5,MATCH(H88,データベース!$E$2:$E$5,0)))*1000
+IF(I88="",0,INDEX(データベース!$D$41:$D$44,MATCH(I88,OFFSET(データベース!$A$41,0,IF(H88="",0,INDEX(データベース!$F$2:$F$5,MATCH(H88,データベース!$E$2:$E$5,0)))-1,4,1),0),))*100
+IF(K88="",0,INDEX(データベース!$D$48:$D$52,MATCH(K88,OFFSET(データベース!$A$48,0,IF(H88="",0,INDEX(データベース!$F$2:$F$5,MATCH(H88,データベース!$E$2:$E$5,0)))-1,5,1),0),))*10
+IF(M88="",0,INDEX(データベース!$D$56:$D$62,MATCH(M88,OFFSET(データベース!$A$56,0,IF(H88="",0,INDEX(データベース!$F$2:$F$5,MATCH(H88,データベース!$E$2:$E$5,0)))-1,7,1),0),))</f>
        <v>0</v>
      </c>
      <c r="P88">
        <f>IF(O88="",0,INDEX(データベース!$H$2:$H$4,MATCH(O88,データベース!$G$2:$G$4,0)))</f>
        <v>0</v>
      </c>
      <c r="S88" s="18" t="str">
        <f t="shared" si="8"/>
        <v>服装・</v>
      </c>
      <c r="U88" s="18" t="str">
        <f t="shared" si="9"/>
        <v>感情・</v>
      </c>
      <c r="W88" s="18" cm="1">
        <f t="array" aca="1" ref="W88" ca="1">IF(Q88="",0,INDEX(データベース!$F$2:$F$5,MATCH(Q88,データベース!$E$2:$E$5,0)))*1000
+IF(R88="",0,INDEX(データベース!$D$41:$D$44,MATCH(R88,OFFSET(データベース!$A$41,0,IF(Q88="",0,INDEX(データベース!$F$2:$F$5,MATCH(Q88,データベース!$E$2:$E$5,0)))-1,4,1),0),))*100
+IF(T88="",0,INDEX(データベース!$D$48:$D$52,MATCH(T88,OFFSET(データベース!$A$48,0,IF(Q88="",0,INDEX(データベース!$F$2:$F$5,MATCH(Q88,データベース!$E$2:$E$5,0)))-1,5,1),0),))*10
+IF(V88="",0,INDEX(データベース!$D$56:$D$62,MATCH(V88,OFFSET(データベース!$A$56,0,IF(Q88="",0,INDEX(データベース!$F$2:$F$5,MATCH(Q88,データベース!$E$2:$E$5,0)))-1,7,1),0),))</f>
        <v>0</v>
      </c>
      <c r="Y88">
        <f>IF(X88="",0,INDEX(データベース!$H$2:$H$4,MATCH(X88,データベース!$G$2:$G$4,0)))</f>
        <v>0</v>
      </c>
      <c r="AB88" s="9" t="str">
        <f t="shared" si="10"/>
        <v>服装・</v>
      </c>
      <c r="AD88" s="9" t="str">
        <f t="shared" si="11"/>
        <v>感情・</v>
      </c>
      <c r="AF88" s="9" cm="1">
        <f t="array" aca="1" ref="AF88" ca="1">IF(Z88="",0,INDEX(データベース!$F$2:$F$5,MATCH(Z88,データベース!$E$2:$E$5,0)))*1000
+IF(AA88="",0,INDEX(データベース!$D$41:$D$44,MATCH(AA88,OFFSET(データベース!$A$41,0,IF(Z88="",0,INDEX(データベース!$F$2:$F$5,MATCH(Z88,データベース!$E$2:$E$5,0)))-1,4,1),0),))*100
+IF(AC88="",0,INDEX(データベース!$D$48:$D$52,MATCH(AC88,OFFSET(データベース!$A$48,0,IF(Z88="",0,INDEX(データベース!$F$2:$F$5,MATCH(Z88,データベース!$E$2:$E$5,0)))-1,5,1),0),))*10
+IF(AE88="",0,INDEX(データベース!$D$56:$D$62,MATCH(AE88,OFFSET(データベース!$A$56,0,IF(Z88="",0,INDEX(データベース!$F$2:$F$5,MATCH(Z88,データベース!$E$2:$E$5,0)))-1,7,1),0),))</f>
        <v>0</v>
      </c>
      <c r="AH88">
        <f>IF(AG88="",0,INDEX(データベース!$H$2:$H$4,MATCH(AG88,データベース!$G$2:$G$4,0)))</f>
        <v>0</v>
      </c>
      <c r="AJ88">
        <f>IF(AI88="",0,INDEX(データベース!J$2:J$2,MATCH(AI88,データベース!I$2:I$2,0)))</f>
        <v>0</v>
      </c>
      <c r="AL88">
        <f>IF(AK88="",0,INDEX(データベース!L$2:L$3,MATCH(AK88,データベース!K$2:K$3,0)))</f>
        <v>0</v>
      </c>
      <c r="AN88">
        <f>IF(AM88="",0,INDEX(データベース!N$2:N$5,MATCH(AM88,データベース!M$2:M$5,0)))</f>
        <v>0</v>
      </c>
      <c r="AO88" s="4"/>
      <c r="AP88">
        <f>IF(AO88="",0,INDEX(データベース!P$2:P$3,MATCH(AO88,データベース!O$2:O$3,0)))</f>
        <v>0</v>
      </c>
      <c r="AR88">
        <f>IF(AQ88="",0,INDEX(データベース!R$2:R$27,MATCH(AQ88,データベース!Q$2:Q$27,0)))</f>
        <v>0</v>
      </c>
      <c r="AT88">
        <f>IF(AS88="",0,INDEX(データベース!T$2:T$4,MATCH(AS88,データベース!S$2:S$4,0)))</f>
        <v>0</v>
      </c>
      <c r="AV88">
        <f>IF(AU88="",0,INDEX(データベース!V$2:V$37,MATCH(AU88,データベース!U$2:U$37,0)))</f>
        <v>0</v>
      </c>
      <c r="AX88">
        <v>0</v>
      </c>
      <c r="AZ88">
        <v>0</v>
      </c>
      <c r="BB88">
        <v>0</v>
      </c>
    </row>
    <row r="89" spans="2:54">
      <c r="B89">
        <v>0</v>
      </c>
      <c r="G89">
        <f>IF(F89="",0,INDEX(データベース!D$2:D$4,MATCH(F89,データベース!C$2:C$4,0)))</f>
        <v>0</v>
      </c>
      <c r="J89" s="19" t="str">
        <f t="shared" si="6"/>
        <v>服装・</v>
      </c>
      <c r="L89" s="19" t="str">
        <f t="shared" si="7"/>
        <v>感情・</v>
      </c>
      <c r="N89" s="19" cm="1">
        <f t="array" aca="1" ref="N89" ca="1">IF(H89="",0,INDEX(データベース!$F$2:$F$5,MATCH(H89,データベース!$E$2:$E$5,0)))*1000
+IF(I89="",0,INDEX(データベース!$D$41:$D$44,MATCH(I89,OFFSET(データベース!$A$41,0,IF(H89="",0,INDEX(データベース!$F$2:$F$5,MATCH(H89,データベース!$E$2:$E$5,0)))-1,4,1),0),))*100
+IF(K89="",0,INDEX(データベース!$D$48:$D$52,MATCH(K89,OFFSET(データベース!$A$48,0,IF(H89="",0,INDEX(データベース!$F$2:$F$5,MATCH(H89,データベース!$E$2:$E$5,0)))-1,5,1),0),))*10
+IF(M89="",0,INDEX(データベース!$D$56:$D$62,MATCH(M89,OFFSET(データベース!$A$56,0,IF(H89="",0,INDEX(データベース!$F$2:$F$5,MATCH(H89,データベース!$E$2:$E$5,0)))-1,7,1),0),))</f>
        <v>0</v>
      </c>
      <c r="P89">
        <f>IF(O89="",0,INDEX(データベース!$H$2:$H$4,MATCH(O89,データベース!$G$2:$G$4,0)))</f>
        <v>0</v>
      </c>
      <c r="S89" s="18" t="str">
        <f t="shared" si="8"/>
        <v>服装・</v>
      </c>
      <c r="U89" s="18" t="str">
        <f t="shared" si="9"/>
        <v>感情・</v>
      </c>
      <c r="W89" s="18" cm="1">
        <f t="array" aca="1" ref="W89" ca="1">IF(Q89="",0,INDEX(データベース!$F$2:$F$5,MATCH(Q89,データベース!$E$2:$E$5,0)))*1000
+IF(R89="",0,INDEX(データベース!$D$41:$D$44,MATCH(R89,OFFSET(データベース!$A$41,0,IF(Q89="",0,INDEX(データベース!$F$2:$F$5,MATCH(Q89,データベース!$E$2:$E$5,0)))-1,4,1),0),))*100
+IF(T89="",0,INDEX(データベース!$D$48:$D$52,MATCH(T89,OFFSET(データベース!$A$48,0,IF(Q89="",0,INDEX(データベース!$F$2:$F$5,MATCH(Q89,データベース!$E$2:$E$5,0)))-1,5,1),0),))*10
+IF(V89="",0,INDEX(データベース!$D$56:$D$62,MATCH(V89,OFFSET(データベース!$A$56,0,IF(Q89="",0,INDEX(データベース!$F$2:$F$5,MATCH(Q89,データベース!$E$2:$E$5,0)))-1,7,1),0),))</f>
        <v>0</v>
      </c>
      <c r="Y89">
        <f>IF(X89="",0,INDEX(データベース!$H$2:$H$4,MATCH(X89,データベース!$G$2:$G$4,0)))</f>
        <v>0</v>
      </c>
      <c r="AB89" s="9" t="str">
        <f t="shared" si="10"/>
        <v>服装・</v>
      </c>
      <c r="AD89" s="9" t="str">
        <f t="shared" si="11"/>
        <v>感情・</v>
      </c>
      <c r="AF89" s="9" cm="1">
        <f t="array" aca="1" ref="AF89" ca="1">IF(Z89="",0,INDEX(データベース!$F$2:$F$5,MATCH(Z89,データベース!$E$2:$E$5,0)))*1000
+IF(AA89="",0,INDEX(データベース!$D$41:$D$44,MATCH(AA89,OFFSET(データベース!$A$41,0,IF(Z89="",0,INDEX(データベース!$F$2:$F$5,MATCH(Z89,データベース!$E$2:$E$5,0)))-1,4,1),0),))*100
+IF(AC89="",0,INDEX(データベース!$D$48:$D$52,MATCH(AC89,OFFSET(データベース!$A$48,0,IF(Z89="",0,INDEX(データベース!$F$2:$F$5,MATCH(Z89,データベース!$E$2:$E$5,0)))-1,5,1),0),))*10
+IF(AE89="",0,INDEX(データベース!$D$56:$D$62,MATCH(AE89,OFFSET(データベース!$A$56,0,IF(Z89="",0,INDEX(データベース!$F$2:$F$5,MATCH(Z89,データベース!$E$2:$E$5,0)))-1,7,1),0),))</f>
        <v>0</v>
      </c>
      <c r="AH89">
        <f>IF(AG89="",0,INDEX(データベース!$H$2:$H$4,MATCH(AG89,データベース!$G$2:$G$4,0)))</f>
        <v>0</v>
      </c>
      <c r="AJ89">
        <f>IF(AI89="",0,INDEX(データベース!J$2:J$2,MATCH(AI89,データベース!I$2:I$2,0)))</f>
        <v>0</v>
      </c>
      <c r="AL89">
        <f>IF(AK89="",0,INDEX(データベース!L$2:L$3,MATCH(AK89,データベース!K$2:K$3,0)))</f>
        <v>0</v>
      </c>
      <c r="AN89">
        <f>IF(AM89="",0,INDEX(データベース!N$2:N$5,MATCH(AM89,データベース!M$2:M$5,0)))</f>
        <v>0</v>
      </c>
      <c r="AO89" s="4"/>
      <c r="AP89">
        <f>IF(AO89="",0,INDEX(データベース!P$2:P$3,MATCH(AO89,データベース!O$2:O$3,0)))</f>
        <v>0</v>
      </c>
      <c r="AR89">
        <f>IF(AQ89="",0,INDEX(データベース!R$2:R$27,MATCH(AQ89,データベース!Q$2:Q$27,0)))</f>
        <v>0</v>
      </c>
      <c r="AT89">
        <f>IF(AS89="",0,INDEX(データベース!T$2:T$4,MATCH(AS89,データベース!S$2:S$4,0)))</f>
        <v>0</v>
      </c>
      <c r="AV89">
        <f>IF(AU89="",0,INDEX(データベース!V$2:V$37,MATCH(AU89,データベース!U$2:U$37,0)))</f>
        <v>0</v>
      </c>
      <c r="AX89">
        <v>0</v>
      </c>
      <c r="AZ89">
        <v>0</v>
      </c>
      <c r="BB89">
        <v>0</v>
      </c>
    </row>
    <row r="90" spans="2:54">
      <c r="B90">
        <v>0</v>
      </c>
      <c r="G90">
        <f>IF(F90="",0,INDEX(データベース!D$2:D$4,MATCH(F90,データベース!C$2:C$4,0)))</f>
        <v>0</v>
      </c>
      <c r="J90" s="19" t="str">
        <f t="shared" si="6"/>
        <v>服装・</v>
      </c>
      <c r="L90" s="19" t="str">
        <f t="shared" si="7"/>
        <v>感情・</v>
      </c>
      <c r="N90" s="19" cm="1">
        <f t="array" aca="1" ref="N90" ca="1">IF(H90="",0,INDEX(データベース!$F$2:$F$5,MATCH(H90,データベース!$E$2:$E$5,0)))*1000
+IF(I90="",0,INDEX(データベース!$D$41:$D$44,MATCH(I90,OFFSET(データベース!$A$41,0,IF(H90="",0,INDEX(データベース!$F$2:$F$5,MATCH(H90,データベース!$E$2:$E$5,0)))-1,4,1),0),))*100
+IF(K90="",0,INDEX(データベース!$D$48:$D$52,MATCH(K90,OFFSET(データベース!$A$48,0,IF(H90="",0,INDEX(データベース!$F$2:$F$5,MATCH(H90,データベース!$E$2:$E$5,0)))-1,5,1),0),))*10
+IF(M90="",0,INDEX(データベース!$D$56:$D$62,MATCH(M90,OFFSET(データベース!$A$56,0,IF(H90="",0,INDEX(データベース!$F$2:$F$5,MATCH(H90,データベース!$E$2:$E$5,0)))-1,7,1),0),))</f>
        <v>0</v>
      </c>
      <c r="P90">
        <f>IF(O90="",0,INDEX(データベース!$H$2:$H$4,MATCH(O90,データベース!$G$2:$G$4,0)))</f>
        <v>0</v>
      </c>
      <c r="S90" s="18" t="str">
        <f t="shared" si="8"/>
        <v>服装・</v>
      </c>
      <c r="U90" s="18" t="str">
        <f t="shared" si="9"/>
        <v>感情・</v>
      </c>
      <c r="W90" s="18" cm="1">
        <f t="array" aca="1" ref="W90" ca="1">IF(Q90="",0,INDEX(データベース!$F$2:$F$5,MATCH(Q90,データベース!$E$2:$E$5,0)))*1000
+IF(R90="",0,INDEX(データベース!$D$41:$D$44,MATCH(R90,OFFSET(データベース!$A$41,0,IF(Q90="",0,INDEX(データベース!$F$2:$F$5,MATCH(Q90,データベース!$E$2:$E$5,0)))-1,4,1),0),))*100
+IF(T90="",0,INDEX(データベース!$D$48:$D$52,MATCH(T90,OFFSET(データベース!$A$48,0,IF(Q90="",0,INDEX(データベース!$F$2:$F$5,MATCH(Q90,データベース!$E$2:$E$5,0)))-1,5,1),0),))*10
+IF(V90="",0,INDEX(データベース!$D$56:$D$62,MATCH(V90,OFFSET(データベース!$A$56,0,IF(Q90="",0,INDEX(データベース!$F$2:$F$5,MATCH(Q90,データベース!$E$2:$E$5,0)))-1,7,1),0),))</f>
        <v>0</v>
      </c>
      <c r="Y90">
        <f>IF(X90="",0,INDEX(データベース!$H$2:$H$4,MATCH(X90,データベース!$G$2:$G$4,0)))</f>
        <v>0</v>
      </c>
      <c r="AB90" s="9" t="str">
        <f t="shared" si="10"/>
        <v>服装・</v>
      </c>
      <c r="AD90" s="9" t="str">
        <f t="shared" si="11"/>
        <v>感情・</v>
      </c>
      <c r="AF90" s="9" cm="1">
        <f t="array" aca="1" ref="AF90" ca="1">IF(Z90="",0,INDEX(データベース!$F$2:$F$5,MATCH(Z90,データベース!$E$2:$E$5,0)))*1000
+IF(AA90="",0,INDEX(データベース!$D$41:$D$44,MATCH(AA90,OFFSET(データベース!$A$41,0,IF(Z90="",0,INDEX(データベース!$F$2:$F$5,MATCH(Z90,データベース!$E$2:$E$5,0)))-1,4,1),0),))*100
+IF(AC90="",0,INDEX(データベース!$D$48:$D$52,MATCH(AC90,OFFSET(データベース!$A$48,0,IF(Z90="",0,INDEX(データベース!$F$2:$F$5,MATCH(Z90,データベース!$E$2:$E$5,0)))-1,5,1),0),))*10
+IF(AE90="",0,INDEX(データベース!$D$56:$D$62,MATCH(AE90,OFFSET(データベース!$A$56,0,IF(Z90="",0,INDEX(データベース!$F$2:$F$5,MATCH(Z90,データベース!$E$2:$E$5,0)))-1,7,1),0),))</f>
        <v>0</v>
      </c>
      <c r="AH90">
        <f>IF(AG90="",0,INDEX(データベース!$H$2:$H$4,MATCH(AG90,データベース!$G$2:$G$4,0)))</f>
        <v>0</v>
      </c>
      <c r="AJ90">
        <f>IF(AI90="",0,INDEX(データベース!J$2:J$2,MATCH(AI90,データベース!I$2:I$2,0)))</f>
        <v>0</v>
      </c>
      <c r="AL90">
        <f>IF(AK90="",0,INDEX(データベース!L$2:L$3,MATCH(AK90,データベース!K$2:K$3,0)))</f>
        <v>0</v>
      </c>
      <c r="AN90">
        <f>IF(AM90="",0,INDEX(データベース!N$2:N$5,MATCH(AM90,データベース!M$2:M$5,0)))</f>
        <v>0</v>
      </c>
      <c r="AO90" s="4"/>
      <c r="AP90">
        <f>IF(AO90="",0,INDEX(データベース!P$2:P$3,MATCH(AO90,データベース!O$2:O$3,0)))</f>
        <v>0</v>
      </c>
      <c r="AR90">
        <f>IF(AQ90="",0,INDEX(データベース!R$2:R$27,MATCH(AQ90,データベース!Q$2:Q$27,0)))</f>
        <v>0</v>
      </c>
      <c r="AT90">
        <f>IF(AS90="",0,INDEX(データベース!T$2:T$4,MATCH(AS90,データベース!S$2:S$4,0)))</f>
        <v>0</v>
      </c>
      <c r="AV90">
        <f>IF(AU90="",0,INDEX(データベース!V$2:V$37,MATCH(AU90,データベース!U$2:U$37,0)))</f>
        <v>0</v>
      </c>
      <c r="AX90">
        <v>0</v>
      </c>
      <c r="AZ90">
        <v>0</v>
      </c>
      <c r="BB90">
        <v>0</v>
      </c>
    </row>
    <row r="91" spans="2:54">
      <c r="B91">
        <v>0</v>
      </c>
      <c r="G91">
        <f>IF(F91="",0,INDEX(データベース!D$2:D$4,MATCH(F91,データベース!C$2:C$4,0)))</f>
        <v>0</v>
      </c>
      <c r="J91" s="19" t="str">
        <f t="shared" si="6"/>
        <v>服装・</v>
      </c>
      <c r="L91" s="19" t="str">
        <f t="shared" si="7"/>
        <v>感情・</v>
      </c>
      <c r="N91" s="19" cm="1">
        <f t="array" aca="1" ref="N91" ca="1">IF(H91="",0,INDEX(データベース!$F$2:$F$5,MATCH(H91,データベース!$E$2:$E$5,0)))*1000
+IF(I91="",0,INDEX(データベース!$D$41:$D$44,MATCH(I91,OFFSET(データベース!$A$41,0,IF(H91="",0,INDEX(データベース!$F$2:$F$5,MATCH(H91,データベース!$E$2:$E$5,0)))-1,4,1),0),))*100
+IF(K91="",0,INDEX(データベース!$D$48:$D$52,MATCH(K91,OFFSET(データベース!$A$48,0,IF(H91="",0,INDEX(データベース!$F$2:$F$5,MATCH(H91,データベース!$E$2:$E$5,0)))-1,5,1),0),))*10
+IF(M91="",0,INDEX(データベース!$D$56:$D$62,MATCH(M91,OFFSET(データベース!$A$56,0,IF(H91="",0,INDEX(データベース!$F$2:$F$5,MATCH(H91,データベース!$E$2:$E$5,0)))-1,7,1),0),))</f>
        <v>0</v>
      </c>
      <c r="P91">
        <f>IF(O91="",0,INDEX(データベース!$H$2:$H$4,MATCH(O91,データベース!$G$2:$G$4,0)))</f>
        <v>0</v>
      </c>
      <c r="S91" s="18" t="str">
        <f t="shared" si="8"/>
        <v>服装・</v>
      </c>
      <c r="U91" s="18" t="str">
        <f t="shared" si="9"/>
        <v>感情・</v>
      </c>
      <c r="W91" s="18" cm="1">
        <f t="array" aca="1" ref="W91" ca="1">IF(Q91="",0,INDEX(データベース!$F$2:$F$5,MATCH(Q91,データベース!$E$2:$E$5,0)))*1000
+IF(R91="",0,INDEX(データベース!$D$41:$D$44,MATCH(R91,OFFSET(データベース!$A$41,0,IF(Q91="",0,INDEX(データベース!$F$2:$F$5,MATCH(Q91,データベース!$E$2:$E$5,0)))-1,4,1),0),))*100
+IF(T91="",0,INDEX(データベース!$D$48:$D$52,MATCH(T91,OFFSET(データベース!$A$48,0,IF(Q91="",0,INDEX(データベース!$F$2:$F$5,MATCH(Q91,データベース!$E$2:$E$5,0)))-1,5,1),0),))*10
+IF(V91="",0,INDEX(データベース!$D$56:$D$62,MATCH(V91,OFFSET(データベース!$A$56,0,IF(Q91="",0,INDEX(データベース!$F$2:$F$5,MATCH(Q91,データベース!$E$2:$E$5,0)))-1,7,1),0),))</f>
        <v>0</v>
      </c>
      <c r="Y91">
        <f>IF(X91="",0,INDEX(データベース!$H$2:$H$4,MATCH(X91,データベース!$G$2:$G$4,0)))</f>
        <v>0</v>
      </c>
      <c r="AB91" s="9" t="str">
        <f t="shared" si="10"/>
        <v>服装・</v>
      </c>
      <c r="AD91" s="9" t="str">
        <f t="shared" si="11"/>
        <v>感情・</v>
      </c>
      <c r="AF91" s="9" cm="1">
        <f t="array" aca="1" ref="AF91" ca="1">IF(Z91="",0,INDEX(データベース!$F$2:$F$5,MATCH(Z91,データベース!$E$2:$E$5,0)))*1000
+IF(AA91="",0,INDEX(データベース!$D$41:$D$44,MATCH(AA91,OFFSET(データベース!$A$41,0,IF(Z91="",0,INDEX(データベース!$F$2:$F$5,MATCH(Z91,データベース!$E$2:$E$5,0)))-1,4,1),0),))*100
+IF(AC91="",0,INDEX(データベース!$D$48:$D$52,MATCH(AC91,OFFSET(データベース!$A$48,0,IF(Z91="",0,INDEX(データベース!$F$2:$F$5,MATCH(Z91,データベース!$E$2:$E$5,0)))-1,5,1),0),))*10
+IF(AE91="",0,INDEX(データベース!$D$56:$D$62,MATCH(AE91,OFFSET(データベース!$A$56,0,IF(Z91="",0,INDEX(データベース!$F$2:$F$5,MATCH(Z91,データベース!$E$2:$E$5,0)))-1,7,1),0),))</f>
        <v>0</v>
      </c>
      <c r="AH91">
        <f>IF(AG91="",0,INDEX(データベース!$H$2:$H$4,MATCH(AG91,データベース!$G$2:$G$4,0)))</f>
        <v>0</v>
      </c>
      <c r="AJ91">
        <f>IF(AI91="",0,INDEX(データベース!J$2:J$2,MATCH(AI91,データベース!I$2:I$2,0)))</f>
        <v>0</v>
      </c>
      <c r="AL91">
        <f>IF(AK91="",0,INDEX(データベース!L$2:L$3,MATCH(AK91,データベース!K$2:K$3,0)))</f>
        <v>0</v>
      </c>
      <c r="AN91">
        <f>IF(AM91="",0,INDEX(データベース!N$2:N$5,MATCH(AM91,データベース!M$2:M$5,0)))</f>
        <v>0</v>
      </c>
      <c r="AO91" s="4"/>
      <c r="AP91">
        <f>IF(AO91="",0,INDEX(データベース!P$2:P$3,MATCH(AO91,データベース!O$2:O$3,0)))</f>
        <v>0</v>
      </c>
      <c r="AR91">
        <f>IF(AQ91="",0,INDEX(データベース!R$2:R$27,MATCH(AQ91,データベース!Q$2:Q$27,0)))</f>
        <v>0</v>
      </c>
      <c r="AT91">
        <f>IF(AS91="",0,INDEX(データベース!T$2:T$4,MATCH(AS91,データベース!S$2:S$4,0)))</f>
        <v>0</v>
      </c>
      <c r="AV91">
        <f>IF(AU91="",0,INDEX(データベース!V$2:V$37,MATCH(AU91,データベース!U$2:U$37,0)))</f>
        <v>0</v>
      </c>
      <c r="AX91">
        <v>0</v>
      </c>
      <c r="AZ91">
        <v>0</v>
      </c>
      <c r="BB91">
        <v>0</v>
      </c>
    </row>
    <row r="92" spans="2:54">
      <c r="B92">
        <v>0</v>
      </c>
      <c r="G92">
        <f>IF(F92="",0,INDEX(データベース!D$2:D$4,MATCH(F92,データベース!C$2:C$4,0)))</f>
        <v>0</v>
      </c>
      <c r="J92" s="19" t="str">
        <f t="shared" si="6"/>
        <v>服装・</v>
      </c>
      <c r="L92" s="19" t="str">
        <f t="shared" si="7"/>
        <v>感情・</v>
      </c>
      <c r="N92" s="19" cm="1">
        <f t="array" aca="1" ref="N92" ca="1">IF(H92="",0,INDEX(データベース!$F$2:$F$5,MATCH(H92,データベース!$E$2:$E$5,0)))*1000
+IF(I92="",0,INDEX(データベース!$D$41:$D$44,MATCH(I92,OFFSET(データベース!$A$41,0,IF(H92="",0,INDEX(データベース!$F$2:$F$5,MATCH(H92,データベース!$E$2:$E$5,0)))-1,4,1),0),))*100
+IF(K92="",0,INDEX(データベース!$D$48:$D$52,MATCH(K92,OFFSET(データベース!$A$48,0,IF(H92="",0,INDEX(データベース!$F$2:$F$5,MATCH(H92,データベース!$E$2:$E$5,0)))-1,5,1),0),))*10
+IF(M92="",0,INDEX(データベース!$D$56:$D$62,MATCH(M92,OFFSET(データベース!$A$56,0,IF(H92="",0,INDEX(データベース!$F$2:$F$5,MATCH(H92,データベース!$E$2:$E$5,0)))-1,7,1),0),))</f>
        <v>0</v>
      </c>
      <c r="P92">
        <f>IF(O92="",0,INDEX(データベース!$H$2:$H$4,MATCH(O92,データベース!$G$2:$G$4,0)))</f>
        <v>0</v>
      </c>
      <c r="S92" s="18" t="str">
        <f t="shared" si="8"/>
        <v>服装・</v>
      </c>
      <c r="U92" s="18" t="str">
        <f t="shared" si="9"/>
        <v>感情・</v>
      </c>
      <c r="W92" s="18" cm="1">
        <f t="array" aca="1" ref="W92" ca="1">IF(Q92="",0,INDEX(データベース!$F$2:$F$5,MATCH(Q92,データベース!$E$2:$E$5,0)))*1000
+IF(R92="",0,INDEX(データベース!$D$41:$D$44,MATCH(R92,OFFSET(データベース!$A$41,0,IF(Q92="",0,INDEX(データベース!$F$2:$F$5,MATCH(Q92,データベース!$E$2:$E$5,0)))-1,4,1),0),))*100
+IF(T92="",0,INDEX(データベース!$D$48:$D$52,MATCH(T92,OFFSET(データベース!$A$48,0,IF(Q92="",0,INDEX(データベース!$F$2:$F$5,MATCH(Q92,データベース!$E$2:$E$5,0)))-1,5,1),0),))*10
+IF(V92="",0,INDEX(データベース!$D$56:$D$62,MATCH(V92,OFFSET(データベース!$A$56,0,IF(Q92="",0,INDEX(データベース!$F$2:$F$5,MATCH(Q92,データベース!$E$2:$E$5,0)))-1,7,1),0),))</f>
        <v>0</v>
      </c>
      <c r="Y92">
        <f>IF(X92="",0,INDEX(データベース!$H$2:$H$4,MATCH(X92,データベース!$G$2:$G$4,0)))</f>
        <v>0</v>
      </c>
      <c r="AB92" s="9" t="str">
        <f t="shared" si="10"/>
        <v>服装・</v>
      </c>
      <c r="AD92" s="9" t="str">
        <f t="shared" si="11"/>
        <v>感情・</v>
      </c>
      <c r="AF92" s="9" cm="1">
        <f t="array" aca="1" ref="AF92" ca="1">IF(Z92="",0,INDEX(データベース!$F$2:$F$5,MATCH(Z92,データベース!$E$2:$E$5,0)))*1000
+IF(AA92="",0,INDEX(データベース!$D$41:$D$44,MATCH(AA92,OFFSET(データベース!$A$41,0,IF(Z92="",0,INDEX(データベース!$F$2:$F$5,MATCH(Z92,データベース!$E$2:$E$5,0)))-1,4,1),0),))*100
+IF(AC92="",0,INDEX(データベース!$D$48:$D$52,MATCH(AC92,OFFSET(データベース!$A$48,0,IF(Z92="",0,INDEX(データベース!$F$2:$F$5,MATCH(Z92,データベース!$E$2:$E$5,0)))-1,5,1),0),))*10
+IF(AE92="",0,INDEX(データベース!$D$56:$D$62,MATCH(AE92,OFFSET(データベース!$A$56,0,IF(Z92="",0,INDEX(データベース!$F$2:$F$5,MATCH(Z92,データベース!$E$2:$E$5,0)))-1,7,1),0),))</f>
        <v>0</v>
      </c>
      <c r="AH92">
        <f>IF(AG92="",0,INDEX(データベース!$H$2:$H$4,MATCH(AG92,データベース!$G$2:$G$4,0)))</f>
        <v>0</v>
      </c>
      <c r="AJ92">
        <f>IF(AI92="",0,INDEX(データベース!J$2:J$2,MATCH(AI92,データベース!I$2:I$2,0)))</f>
        <v>0</v>
      </c>
      <c r="AL92">
        <f>IF(AK92="",0,INDEX(データベース!L$2:L$3,MATCH(AK92,データベース!K$2:K$3,0)))</f>
        <v>0</v>
      </c>
      <c r="AN92">
        <f>IF(AM92="",0,INDEX(データベース!N$2:N$5,MATCH(AM92,データベース!M$2:M$5,0)))</f>
        <v>0</v>
      </c>
      <c r="AO92" s="4"/>
      <c r="AP92">
        <f>IF(AO92="",0,INDEX(データベース!P$2:P$3,MATCH(AO92,データベース!O$2:O$3,0)))</f>
        <v>0</v>
      </c>
      <c r="AR92">
        <f>IF(AQ92="",0,INDEX(データベース!R$2:R$27,MATCH(AQ92,データベース!Q$2:Q$27,0)))</f>
        <v>0</v>
      </c>
      <c r="AT92">
        <f>IF(AS92="",0,INDEX(データベース!T$2:T$4,MATCH(AS92,データベース!S$2:S$4,0)))</f>
        <v>0</v>
      </c>
      <c r="AV92">
        <f>IF(AU92="",0,INDEX(データベース!V$2:V$37,MATCH(AU92,データベース!U$2:U$37,0)))</f>
        <v>0</v>
      </c>
      <c r="AX92">
        <v>0</v>
      </c>
      <c r="AZ92">
        <v>0</v>
      </c>
      <c r="BB92">
        <v>0</v>
      </c>
    </row>
    <row r="93" spans="2:54">
      <c r="B93">
        <v>0</v>
      </c>
      <c r="G93">
        <f>IF(F93="",0,INDEX(データベース!D$2:D$4,MATCH(F93,データベース!C$2:C$4,0)))</f>
        <v>0</v>
      </c>
      <c r="J93" s="19" t="str">
        <f t="shared" si="6"/>
        <v>服装・</v>
      </c>
      <c r="L93" s="19" t="str">
        <f t="shared" si="7"/>
        <v>感情・</v>
      </c>
      <c r="N93" s="19" cm="1">
        <f t="array" aca="1" ref="N93" ca="1">IF(H93="",0,INDEX(データベース!$F$2:$F$5,MATCH(H93,データベース!$E$2:$E$5,0)))*1000
+IF(I93="",0,INDEX(データベース!$D$41:$D$44,MATCH(I93,OFFSET(データベース!$A$41,0,IF(H93="",0,INDEX(データベース!$F$2:$F$5,MATCH(H93,データベース!$E$2:$E$5,0)))-1,4,1),0),))*100
+IF(K93="",0,INDEX(データベース!$D$48:$D$52,MATCH(K93,OFFSET(データベース!$A$48,0,IF(H93="",0,INDEX(データベース!$F$2:$F$5,MATCH(H93,データベース!$E$2:$E$5,0)))-1,5,1),0),))*10
+IF(M93="",0,INDEX(データベース!$D$56:$D$62,MATCH(M93,OFFSET(データベース!$A$56,0,IF(H93="",0,INDEX(データベース!$F$2:$F$5,MATCH(H93,データベース!$E$2:$E$5,0)))-1,7,1),0),))</f>
        <v>0</v>
      </c>
      <c r="P93">
        <f>IF(O93="",0,INDEX(データベース!$H$2:$H$4,MATCH(O93,データベース!$G$2:$G$4,0)))</f>
        <v>0</v>
      </c>
      <c r="S93" s="18" t="str">
        <f t="shared" si="8"/>
        <v>服装・</v>
      </c>
      <c r="U93" s="18" t="str">
        <f t="shared" si="9"/>
        <v>感情・</v>
      </c>
      <c r="W93" s="18" cm="1">
        <f t="array" aca="1" ref="W93" ca="1">IF(Q93="",0,INDEX(データベース!$F$2:$F$5,MATCH(Q93,データベース!$E$2:$E$5,0)))*1000
+IF(R93="",0,INDEX(データベース!$D$41:$D$44,MATCH(R93,OFFSET(データベース!$A$41,0,IF(Q93="",0,INDEX(データベース!$F$2:$F$5,MATCH(Q93,データベース!$E$2:$E$5,0)))-1,4,1),0),))*100
+IF(T93="",0,INDEX(データベース!$D$48:$D$52,MATCH(T93,OFFSET(データベース!$A$48,0,IF(Q93="",0,INDEX(データベース!$F$2:$F$5,MATCH(Q93,データベース!$E$2:$E$5,0)))-1,5,1),0),))*10
+IF(V93="",0,INDEX(データベース!$D$56:$D$62,MATCH(V93,OFFSET(データベース!$A$56,0,IF(Q93="",0,INDEX(データベース!$F$2:$F$5,MATCH(Q93,データベース!$E$2:$E$5,0)))-1,7,1),0),))</f>
        <v>0</v>
      </c>
      <c r="Y93">
        <f>IF(X93="",0,INDEX(データベース!$H$2:$H$4,MATCH(X93,データベース!$G$2:$G$4,0)))</f>
        <v>0</v>
      </c>
      <c r="AB93" s="9" t="str">
        <f t="shared" si="10"/>
        <v>服装・</v>
      </c>
      <c r="AD93" s="9" t="str">
        <f t="shared" si="11"/>
        <v>感情・</v>
      </c>
      <c r="AF93" s="9" cm="1">
        <f t="array" aca="1" ref="AF93" ca="1">IF(Z93="",0,INDEX(データベース!$F$2:$F$5,MATCH(Z93,データベース!$E$2:$E$5,0)))*1000
+IF(AA93="",0,INDEX(データベース!$D$41:$D$44,MATCH(AA93,OFFSET(データベース!$A$41,0,IF(Z93="",0,INDEX(データベース!$F$2:$F$5,MATCH(Z93,データベース!$E$2:$E$5,0)))-1,4,1),0),))*100
+IF(AC93="",0,INDEX(データベース!$D$48:$D$52,MATCH(AC93,OFFSET(データベース!$A$48,0,IF(Z93="",0,INDEX(データベース!$F$2:$F$5,MATCH(Z93,データベース!$E$2:$E$5,0)))-1,5,1),0),))*10
+IF(AE93="",0,INDEX(データベース!$D$56:$D$62,MATCH(AE93,OFFSET(データベース!$A$56,0,IF(Z93="",0,INDEX(データベース!$F$2:$F$5,MATCH(Z93,データベース!$E$2:$E$5,0)))-1,7,1),0),))</f>
        <v>0</v>
      </c>
      <c r="AH93">
        <f>IF(AG93="",0,INDEX(データベース!$H$2:$H$4,MATCH(AG93,データベース!$G$2:$G$4,0)))</f>
        <v>0</v>
      </c>
      <c r="AJ93">
        <f>IF(AI93="",0,INDEX(データベース!J$2:J$2,MATCH(AI93,データベース!I$2:I$2,0)))</f>
        <v>0</v>
      </c>
      <c r="AL93">
        <f>IF(AK93="",0,INDEX(データベース!L$2:L$3,MATCH(AK93,データベース!K$2:K$3,0)))</f>
        <v>0</v>
      </c>
      <c r="AN93">
        <f>IF(AM93="",0,INDEX(データベース!N$2:N$5,MATCH(AM93,データベース!M$2:M$5,0)))</f>
        <v>0</v>
      </c>
      <c r="AO93" s="4"/>
      <c r="AP93">
        <f>IF(AO93="",0,INDEX(データベース!P$2:P$3,MATCH(AO93,データベース!O$2:O$3,0)))</f>
        <v>0</v>
      </c>
      <c r="AR93">
        <f>IF(AQ93="",0,INDEX(データベース!R$2:R$27,MATCH(AQ93,データベース!Q$2:Q$27,0)))</f>
        <v>0</v>
      </c>
      <c r="AT93">
        <f>IF(AS93="",0,INDEX(データベース!T$2:T$4,MATCH(AS93,データベース!S$2:S$4,0)))</f>
        <v>0</v>
      </c>
      <c r="AV93">
        <f>IF(AU93="",0,INDEX(データベース!V$2:V$37,MATCH(AU93,データベース!U$2:U$37,0)))</f>
        <v>0</v>
      </c>
      <c r="AX93">
        <v>0</v>
      </c>
      <c r="AZ93">
        <v>0</v>
      </c>
      <c r="BB93">
        <v>0</v>
      </c>
    </row>
    <row r="94" spans="2:54">
      <c r="B94">
        <v>0</v>
      </c>
      <c r="G94">
        <f>IF(F94="",0,INDEX(データベース!D$2:D$4,MATCH(F94,データベース!C$2:C$4,0)))</f>
        <v>0</v>
      </c>
      <c r="J94" s="19" t="str">
        <f t="shared" si="6"/>
        <v>服装・</v>
      </c>
      <c r="L94" s="19" t="str">
        <f t="shared" si="7"/>
        <v>感情・</v>
      </c>
      <c r="N94" s="19" cm="1">
        <f t="array" aca="1" ref="N94" ca="1">IF(H94="",0,INDEX(データベース!$F$2:$F$5,MATCH(H94,データベース!$E$2:$E$5,0)))*1000
+IF(I94="",0,INDEX(データベース!$D$41:$D$44,MATCH(I94,OFFSET(データベース!$A$41,0,IF(H94="",0,INDEX(データベース!$F$2:$F$5,MATCH(H94,データベース!$E$2:$E$5,0)))-1,4,1),0),))*100
+IF(K94="",0,INDEX(データベース!$D$48:$D$52,MATCH(K94,OFFSET(データベース!$A$48,0,IF(H94="",0,INDEX(データベース!$F$2:$F$5,MATCH(H94,データベース!$E$2:$E$5,0)))-1,5,1),0),))*10
+IF(M94="",0,INDEX(データベース!$D$56:$D$62,MATCH(M94,OFFSET(データベース!$A$56,0,IF(H94="",0,INDEX(データベース!$F$2:$F$5,MATCH(H94,データベース!$E$2:$E$5,0)))-1,7,1),0),))</f>
        <v>0</v>
      </c>
      <c r="P94">
        <f>IF(O94="",0,INDEX(データベース!$H$2:$H$4,MATCH(O94,データベース!$G$2:$G$4,0)))</f>
        <v>0</v>
      </c>
      <c r="S94" s="18" t="str">
        <f t="shared" si="8"/>
        <v>服装・</v>
      </c>
      <c r="U94" s="18" t="str">
        <f t="shared" si="9"/>
        <v>感情・</v>
      </c>
      <c r="W94" s="18" cm="1">
        <f t="array" aca="1" ref="W94" ca="1">IF(Q94="",0,INDEX(データベース!$F$2:$F$5,MATCH(Q94,データベース!$E$2:$E$5,0)))*1000
+IF(R94="",0,INDEX(データベース!$D$41:$D$44,MATCH(R94,OFFSET(データベース!$A$41,0,IF(Q94="",0,INDEX(データベース!$F$2:$F$5,MATCH(Q94,データベース!$E$2:$E$5,0)))-1,4,1),0),))*100
+IF(T94="",0,INDEX(データベース!$D$48:$D$52,MATCH(T94,OFFSET(データベース!$A$48,0,IF(Q94="",0,INDEX(データベース!$F$2:$F$5,MATCH(Q94,データベース!$E$2:$E$5,0)))-1,5,1),0),))*10
+IF(V94="",0,INDEX(データベース!$D$56:$D$62,MATCH(V94,OFFSET(データベース!$A$56,0,IF(Q94="",0,INDEX(データベース!$F$2:$F$5,MATCH(Q94,データベース!$E$2:$E$5,0)))-1,7,1),0),))</f>
        <v>0</v>
      </c>
      <c r="Y94">
        <f>IF(X94="",0,INDEX(データベース!$H$2:$H$4,MATCH(X94,データベース!$G$2:$G$4,0)))</f>
        <v>0</v>
      </c>
      <c r="AB94" s="9" t="str">
        <f t="shared" si="10"/>
        <v>服装・</v>
      </c>
      <c r="AD94" s="9" t="str">
        <f t="shared" si="11"/>
        <v>感情・</v>
      </c>
      <c r="AF94" s="9" cm="1">
        <f t="array" aca="1" ref="AF94" ca="1">IF(Z94="",0,INDEX(データベース!$F$2:$F$5,MATCH(Z94,データベース!$E$2:$E$5,0)))*1000
+IF(AA94="",0,INDEX(データベース!$D$41:$D$44,MATCH(AA94,OFFSET(データベース!$A$41,0,IF(Z94="",0,INDEX(データベース!$F$2:$F$5,MATCH(Z94,データベース!$E$2:$E$5,0)))-1,4,1),0),))*100
+IF(AC94="",0,INDEX(データベース!$D$48:$D$52,MATCH(AC94,OFFSET(データベース!$A$48,0,IF(Z94="",0,INDEX(データベース!$F$2:$F$5,MATCH(Z94,データベース!$E$2:$E$5,0)))-1,5,1),0),))*10
+IF(AE94="",0,INDEX(データベース!$D$56:$D$62,MATCH(AE94,OFFSET(データベース!$A$56,0,IF(Z94="",0,INDEX(データベース!$F$2:$F$5,MATCH(Z94,データベース!$E$2:$E$5,0)))-1,7,1),0),))</f>
        <v>0</v>
      </c>
      <c r="AH94">
        <f>IF(AG94="",0,INDEX(データベース!$H$2:$H$4,MATCH(AG94,データベース!$G$2:$G$4,0)))</f>
        <v>0</v>
      </c>
      <c r="AJ94">
        <f>IF(AI94="",0,INDEX(データベース!J$2:J$2,MATCH(AI94,データベース!I$2:I$2,0)))</f>
        <v>0</v>
      </c>
      <c r="AL94">
        <f>IF(AK94="",0,INDEX(データベース!L$2:L$3,MATCH(AK94,データベース!K$2:K$3,0)))</f>
        <v>0</v>
      </c>
      <c r="AN94">
        <f>IF(AM94="",0,INDEX(データベース!N$2:N$5,MATCH(AM94,データベース!M$2:M$5,0)))</f>
        <v>0</v>
      </c>
      <c r="AO94" s="4"/>
      <c r="AP94">
        <f>IF(AO94="",0,INDEX(データベース!P$2:P$3,MATCH(AO94,データベース!O$2:O$3,0)))</f>
        <v>0</v>
      </c>
      <c r="AR94">
        <f>IF(AQ94="",0,INDEX(データベース!R$2:R$27,MATCH(AQ94,データベース!Q$2:Q$27,0)))</f>
        <v>0</v>
      </c>
      <c r="AT94">
        <f>IF(AS94="",0,INDEX(データベース!T$2:T$4,MATCH(AS94,データベース!S$2:S$4,0)))</f>
        <v>0</v>
      </c>
      <c r="AV94">
        <f>IF(AU94="",0,INDEX(データベース!V$2:V$37,MATCH(AU94,データベース!U$2:U$37,0)))</f>
        <v>0</v>
      </c>
      <c r="AX94">
        <v>0</v>
      </c>
      <c r="AZ94">
        <v>0</v>
      </c>
      <c r="BB94">
        <v>0</v>
      </c>
    </row>
    <row r="95" spans="2:54">
      <c r="B95">
        <v>0</v>
      </c>
      <c r="G95">
        <f>IF(F95="",0,INDEX(データベース!D$2:D$4,MATCH(F95,データベース!C$2:C$4,0)))</f>
        <v>0</v>
      </c>
      <c r="J95" s="19" t="str">
        <f t="shared" si="6"/>
        <v>服装・</v>
      </c>
      <c r="L95" s="19" t="str">
        <f t="shared" si="7"/>
        <v>感情・</v>
      </c>
      <c r="N95" s="19" cm="1">
        <f t="array" aca="1" ref="N95" ca="1">IF(H95="",0,INDEX(データベース!$F$2:$F$5,MATCH(H95,データベース!$E$2:$E$5,0)))*1000
+IF(I95="",0,INDEX(データベース!$D$41:$D$44,MATCH(I95,OFFSET(データベース!$A$41,0,IF(H95="",0,INDEX(データベース!$F$2:$F$5,MATCH(H95,データベース!$E$2:$E$5,0)))-1,4,1),0),))*100
+IF(K95="",0,INDEX(データベース!$D$48:$D$52,MATCH(K95,OFFSET(データベース!$A$48,0,IF(H95="",0,INDEX(データベース!$F$2:$F$5,MATCH(H95,データベース!$E$2:$E$5,0)))-1,5,1),0),))*10
+IF(M95="",0,INDEX(データベース!$D$56:$D$62,MATCH(M95,OFFSET(データベース!$A$56,0,IF(H95="",0,INDEX(データベース!$F$2:$F$5,MATCH(H95,データベース!$E$2:$E$5,0)))-1,7,1),0),))</f>
        <v>0</v>
      </c>
      <c r="P95">
        <f>IF(O95="",0,INDEX(データベース!$H$2:$H$4,MATCH(O95,データベース!$G$2:$G$4,0)))</f>
        <v>0</v>
      </c>
      <c r="S95" s="18" t="str">
        <f t="shared" si="8"/>
        <v>服装・</v>
      </c>
      <c r="U95" s="18" t="str">
        <f t="shared" si="9"/>
        <v>感情・</v>
      </c>
      <c r="W95" s="18" cm="1">
        <f t="array" aca="1" ref="W95" ca="1">IF(Q95="",0,INDEX(データベース!$F$2:$F$5,MATCH(Q95,データベース!$E$2:$E$5,0)))*1000
+IF(R95="",0,INDEX(データベース!$D$41:$D$44,MATCH(R95,OFFSET(データベース!$A$41,0,IF(Q95="",0,INDEX(データベース!$F$2:$F$5,MATCH(Q95,データベース!$E$2:$E$5,0)))-1,4,1),0),))*100
+IF(T95="",0,INDEX(データベース!$D$48:$D$52,MATCH(T95,OFFSET(データベース!$A$48,0,IF(Q95="",0,INDEX(データベース!$F$2:$F$5,MATCH(Q95,データベース!$E$2:$E$5,0)))-1,5,1),0),))*10
+IF(V95="",0,INDEX(データベース!$D$56:$D$62,MATCH(V95,OFFSET(データベース!$A$56,0,IF(Q95="",0,INDEX(データベース!$F$2:$F$5,MATCH(Q95,データベース!$E$2:$E$5,0)))-1,7,1),0),))</f>
        <v>0</v>
      </c>
      <c r="Y95">
        <f>IF(X95="",0,INDEX(データベース!$H$2:$H$4,MATCH(X95,データベース!$G$2:$G$4,0)))</f>
        <v>0</v>
      </c>
      <c r="AB95" s="9" t="str">
        <f t="shared" si="10"/>
        <v>服装・</v>
      </c>
      <c r="AD95" s="9" t="str">
        <f t="shared" si="11"/>
        <v>感情・</v>
      </c>
      <c r="AF95" s="9" cm="1">
        <f t="array" aca="1" ref="AF95" ca="1">IF(Z95="",0,INDEX(データベース!$F$2:$F$5,MATCH(Z95,データベース!$E$2:$E$5,0)))*1000
+IF(AA95="",0,INDEX(データベース!$D$41:$D$44,MATCH(AA95,OFFSET(データベース!$A$41,0,IF(Z95="",0,INDEX(データベース!$F$2:$F$5,MATCH(Z95,データベース!$E$2:$E$5,0)))-1,4,1),0),))*100
+IF(AC95="",0,INDEX(データベース!$D$48:$D$52,MATCH(AC95,OFFSET(データベース!$A$48,0,IF(Z95="",0,INDEX(データベース!$F$2:$F$5,MATCH(Z95,データベース!$E$2:$E$5,0)))-1,5,1),0),))*10
+IF(AE95="",0,INDEX(データベース!$D$56:$D$62,MATCH(AE95,OFFSET(データベース!$A$56,0,IF(Z95="",0,INDEX(データベース!$F$2:$F$5,MATCH(Z95,データベース!$E$2:$E$5,0)))-1,7,1),0),))</f>
        <v>0</v>
      </c>
      <c r="AH95">
        <f>IF(AG95="",0,INDEX(データベース!$H$2:$H$4,MATCH(AG95,データベース!$G$2:$G$4,0)))</f>
        <v>0</v>
      </c>
      <c r="AJ95">
        <f>IF(AI95="",0,INDEX(データベース!J$2:J$2,MATCH(AI95,データベース!I$2:I$2,0)))</f>
        <v>0</v>
      </c>
      <c r="AL95">
        <f>IF(AK95="",0,INDEX(データベース!L$2:L$3,MATCH(AK95,データベース!K$2:K$3,0)))</f>
        <v>0</v>
      </c>
      <c r="AN95">
        <f>IF(AM95="",0,INDEX(データベース!N$2:N$5,MATCH(AM95,データベース!M$2:M$5,0)))</f>
        <v>0</v>
      </c>
      <c r="AO95" s="4"/>
      <c r="AP95">
        <f>IF(AO95="",0,INDEX(データベース!P$2:P$3,MATCH(AO95,データベース!O$2:O$3,0)))</f>
        <v>0</v>
      </c>
      <c r="AR95">
        <f>IF(AQ95="",0,INDEX(データベース!R$2:R$27,MATCH(AQ95,データベース!Q$2:Q$27,0)))</f>
        <v>0</v>
      </c>
      <c r="AT95">
        <f>IF(AS95="",0,INDEX(データベース!T$2:T$4,MATCH(AS95,データベース!S$2:S$4,0)))</f>
        <v>0</v>
      </c>
      <c r="AV95">
        <f>IF(AU95="",0,INDEX(データベース!V$2:V$37,MATCH(AU95,データベース!U$2:U$37,0)))</f>
        <v>0</v>
      </c>
      <c r="AX95">
        <v>0</v>
      </c>
      <c r="AZ95">
        <v>0</v>
      </c>
      <c r="BB95">
        <v>0</v>
      </c>
    </row>
    <row r="96" spans="2:54">
      <c r="B96">
        <v>0</v>
      </c>
      <c r="G96">
        <f>IF(F96="",0,INDEX(データベース!D$2:D$4,MATCH(F96,データベース!C$2:C$4,0)))</f>
        <v>0</v>
      </c>
      <c r="J96" s="19" t="str">
        <f t="shared" si="6"/>
        <v>服装・</v>
      </c>
      <c r="L96" s="19" t="str">
        <f t="shared" si="7"/>
        <v>感情・</v>
      </c>
      <c r="N96" s="19" cm="1">
        <f t="array" aca="1" ref="N96" ca="1">IF(H96="",0,INDEX(データベース!$F$2:$F$5,MATCH(H96,データベース!$E$2:$E$5,0)))*1000
+IF(I96="",0,INDEX(データベース!$D$41:$D$44,MATCH(I96,OFFSET(データベース!$A$41,0,IF(H96="",0,INDEX(データベース!$F$2:$F$5,MATCH(H96,データベース!$E$2:$E$5,0)))-1,4,1),0),))*100
+IF(K96="",0,INDEX(データベース!$D$48:$D$52,MATCH(K96,OFFSET(データベース!$A$48,0,IF(H96="",0,INDEX(データベース!$F$2:$F$5,MATCH(H96,データベース!$E$2:$E$5,0)))-1,5,1),0),))*10
+IF(M96="",0,INDEX(データベース!$D$56:$D$62,MATCH(M96,OFFSET(データベース!$A$56,0,IF(H96="",0,INDEX(データベース!$F$2:$F$5,MATCH(H96,データベース!$E$2:$E$5,0)))-1,7,1),0),))</f>
        <v>0</v>
      </c>
      <c r="P96">
        <f>IF(O96="",0,INDEX(データベース!$H$2:$H$4,MATCH(O96,データベース!$G$2:$G$4,0)))</f>
        <v>0</v>
      </c>
      <c r="S96" s="18" t="str">
        <f t="shared" si="8"/>
        <v>服装・</v>
      </c>
      <c r="U96" s="18" t="str">
        <f t="shared" si="9"/>
        <v>感情・</v>
      </c>
      <c r="W96" s="18" cm="1">
        <f t="array" aca="1" ref="W96" ca="1">IF(Q96="",0,INDEX(データベース!$F$2:$F$5,MATCH(Q96,データベース!$E$2:$E$5,0)))*1000
+IF(R96="",0,INDEX(データベース!$D$41:$D$44,MATCH(R96,OFFSET(データベース!$A$41,0,IF(Q96="",0,INDEX(データベース!$F$2:$F$5,MATCH(Q96,データベース!$E$2:$E$5,0)))-1,4,1),0),))*100
+IF(T96="",0,INDEX(データベース!$D$48:$D$52,MATCH(T96,OFFSET(データベース!$A$48,0,IF(Q96="",0,INDEX(データベース!$F$2:$F$5,MATCH(Q96,データベース!$E$2:$E$5,0)))-1,5,1),0),))*10
+IF(V96="",0,INDEX(データベース!$D$56:$D$62,MATCH(V96,OFFSET(データベース!$A$56,0,IF(Q96="",0,INDEX(データベース!$F$2:$F$5,MATCH(Q96,データベース!$E$2:$E$5,0)))-1,7,1),0),))</f>
        <v>0</v>
      </c>
      <c r="Y96">
        <f>IF(X96="",0,INDEX(データベース!$H$2:$H$4,MATCH(X96,データベース!$G$2:$G$4,0)))</f>
        <v>0</v>
      </c>
      <c r="AB96" s="9" t="str">
        <f t="shared" si="10"/>
        <v>服装・</v>
      </c>
      <c r="AD96" s="9" t="str">
        <f t="shared" si="11"/>
        <v>感情・</v>
      </c>
      <c r="AF96" s="9" cm="1">
        <f t="array" aca="1" ref="AF96" ca="1">IF(Z96="",0,INDEX(データベース!$F$2:$F$5,MATCH(Z96,データベース!$E$2:$E$5,0)))*1000
+IF(AA96="",0,INDEX(データベース!$D$41:$D$44,MATCH(AA96,OFFSET(データベース!$A$41,0,IF(Z96="",0,INDEX(データベース!$F$2:$F$5,MATCH(Z96,データベース!$E$2:$E$5,0)))-1,4,1),0),))*100
+IF(AC96="",0,INDEX(データベース!$D$48:$D$52,MATCH(AC96,OFFSET(データベース!$A$48,0,IF(Z96="",0,INDEX(データベース!$F$2:$F$5,MATCH(Z96,データベース!$E$2:$E$5,0)))-1,5,1),0),))*10
+IF(AE96="",0,INDEX(データベース!$D$56:$D$62,MATCH(AE96,OFFSET(データベース!$A$56,0,IF(Z96="",0,INDEX(データベース!$F$2:$F$5,MATCH(Z96,データベース!$E$2:$E$5,0)))-1,7,1),0),))</f>
        <v>0</v>
      </c>
      <c r="AH96">
        <f>IF(AG96="",0,INDEX(データベース!$H$2:$H$4,MATCH(AG96,データベース!$G$2:$G$4,0)))</f>
        <v>0</v>
      </c>
      <c r="AJ96">
        <f>IF(AI96="",0,INDEX(データベース!J$2:J$2,MATCH(AI96,データベース!I$2:I$2,0)))</f>
        <v>0</v>
      </c>
      <c r="AL96">
        <f>IF(AK96="",0,INDEX(データベース!L$2:L$3,MATCH(AK96,データベース!K$2:K$3,0)))</f>
        <v>0</v>
      </c>
      <c r="AN96">
        <f>IF(AM96="",0,INDEX(データベース!N$2:N$5,MATCH(AM96,データベース!M$2:M$5,0)))</f>
        <v>0</v>
      </c>
      <c r="AO96" s="4"/>
      <c r="AP96">
        <f>IF(AO96="",0,INDEX(データベース!P$2:P$3,MATCH(AO96,データベース!O$2:O$3,0)))</f>
        <v>0</v>
      </c>
      <c r="AR96">
        <f>IF(AQ96="",0,INDEX(データベース!R$2:R$27,MATCH(AQ96,データベース!Q$2:Q$27,0)))</f>
        <v>0</v>
      </c>
      <c r="AT96">
        <f>IF(AS96="",0,INDEX(データベース!T$2:T$4,MATCH(AS96,データベース!S$2:S$4,0)))</f>
        <v>0</v>
      </c>
      <c r="AV96">
        <f>IF(AU96="",0,INDEX(データベース!V$2:V$37,MATCH(AU96,データベース!U$2:U$37,0)))</f>
        <v>0</v>
      </c>
      <c r="AX96">
        <v>0</v>
      </c>
      <c r="AZ96">
        <v>0</v>
      </c>
      <c r="BB96">
        <v>0</v>
      </c>
    </row>
    <row r="97" spans="2:54">
      <c r="B97">
        <v>0</v>
      </c>
      <c r="G97">
        <f>IF(F97="",0,INDEX(データベース!D$2:D$4,MATCH(F97,データベース!C$2:C$4,0)))</f>
        <v>0</v>
      </c>
      <c r="J97" s="19" t="str">
        <f t="shared" si="6"/>
        <v>服装・</v>
      </c>
      <c r="L97" s="19" t="str">
        <f t="shared" si="7"/>
        <v>感情・</v>
      </c>
      <c r="N97" s="19" cm="1">
        <f t="array" aca="1" ref="N97" ca="1">IF(H97="",0,INDEX(データベース!$F$2:$F$5,MATCH(H97,データベース!$E$2:$E$5,0)))*1000
+IF(I97="",0,INDEX(データベース!$D$41:$D$44,MATCH(I97,OFFSET(データベース!$A$41,0,IF(H97="",0,INDEX(データベース!$F$2:$F$5,MATCH(H97,データベース!$E$2:$E$5,0)))-1,4,1),0),))*100
+IF(K97="",0,INDEX(データベース!$D$48:$D$52,MATCH(K97,OFFSET(データベース!$A$48,0,IF(H97="",0,INDEX(データベース!$F$2:$F$5,MATCH(H97,データベース!$E$2:$E$5,0)))-1,5,1),0),))*10
+IF(M97="",0,INDEX(データベース!$D$56:$D$62,MATCH(M97,OFFSET(データベース!$A$56,0,IF(H97="",0,INDEX(データベース!$F$2:$F$5,MATCH(H97,データベース!$E$2:$E$5,0)))-1,7,1),0),))</f>
        <v>0</v>
      </c>
      <c r="P97">
        <f>IF(O97="",0,INDEX(データベース!$H$2:$H$4,MATCH(O97,データベース!$G$2:$G$4,0)))</f>
        <v>0</v>
      </c>
      <c r="S97" s="18" t="str">
        <f t="shared" si="8"/>
        <v>服装・</v>
      </c>
      <c r="U97" s="18" t="str">
        <f t="shared" si="9"/>
        <v>感情・</v>
      </c>
      <c r="W97" s="18" cm="1">
        <f t="array" aca="1" ref="W97" ca="1">IF(Q97="",0,INDEX(データベース!$F$2:$F$5,MATCH(Q97,データベース!$E$2:$E$5,0)))*1000
+IF(R97="",0,INDEX(データベース!$D$41:$D$44,MATCH(R97,OFFSET(データベース!$A$41,0,IF(Q97="",0,INDEX(データベース!$F$2:$F$5,MATCH(Q97,データベース!$E$2:$E$5,0)))-1,4,1),0),))*100
+IF(T97="",0,INDEX(データベース!$D$48:$D$52,MATCH(T97,OFFSET(データベース!$A$48,0,IF(Q97="",0,INDEX(データベース!$F$2:$F$5,MATCH(Q97,データベース!$E$2:$E$5,0)))-1,5,1),0),))*10
+IF(V97="",0,INDEX(データベース!$D$56:$D$62,MATCH(V97,OFFSET(データベース!$A$56,0,IF(Q97="",0,INDEX(データベース!$F$2:$F$5,MATCH(Q97,データベース!$E$2:$E$5,0)))-1,7,1),0),))</f>
        <v>0</v>
      </c>
      <c r="Y97">
        <f>IF(X97="",0,INDEX(データベース!$H$2:$H$4,MATCH(X97,データベース!$G$2:$G$4,0)))</f>
        <v>0</v>
      </c>
      <c r="AB97" s="9" t="str">
        <f t="shared" si="10"/>
        <v>服装・</v>
      </c>
      <c r="AD97" s="9" t="str">
        <f t="shared" si="11"/>
        <v>感情・</v>
      </c>
      <c r="AF97" s="9" cm="1">
        <f t="array" aca="1" ref="AF97" ca="1">IF(Z97="",0,INDEX(データベース!$F$2:$F$5,MATCH(Z97,データベース!$E$2:$E$5,0)))*1000
+IF(AA97="",0,INDEX(データベース!$D$41:$D$44,MATCH(AA97,OFFSET(データベース!$A$41,0,IF(Z97="",0,INDEX(データベース!$F$2:$F$5,MATCH(Z97,データベース!$E$2:$E$5,0)))-1,4,1),0),))*100
+IF(AC97="",0,INDEX(データベース!$D$48:$D$52,MATCH(AC97,OFFSET(データベース!$A$48,0,IF(Z97="",0,INDEX(データベース!$F$2:$F$5,MATCH(Z97,データベース!$E$2:$E$5,0)))-1,5,1),0),))*10
+IF(AE97="",0,INDEX(データベース!$D$56:$D$62,MATCH(AE97,OFFSET(データベース!$A$56,0,IF(Z97="",0,INDEX(データベース!$F$2:$F$5,MATCH(Z97,データベース!$E$2:$E$5,0)))-1,7,1),0),))</f>
        <v>0</v>
      </c>
      <c r="AH97">
        <f>IF(AG97="",0,INDEX(データベース!$H$2:$H$4,MATCH(AG97,データベース!$G$2:$G$4,0)))</f>
        <v>0</v>
      </c>
      <c r="AJ97">
        <f>IF(AI97="",0,INDEX(データベース!J$2:J$2,MATCH(AI97,データベース!I$2:I$2,0)))</f>
        <v>0</v>
      </c>
      <c r="AL97">
        <f>IF(AK97="",0,INDEX(データベース!L$2:L$3,MATCH(AK97,データベース!K$2:K$3,0)))</f>
        <v>0</v>
      </c>
      <c r="AN97">
        <f>IF(AM97="",0,INDEX(データベース!N$2:N$5,MATCH(AM97,データベース!M$2:M$5,0)))</f>
        <v>0</v>
      </c>
      <c r="AO97" s="4"/>
      <c r="AP97">
        <f>IF(AO97="",0,INDEX(データベース!P$2:P$3,MATCH(AO97,データベース!O$2:O$3,0)))</f>
        <v>0</v>
      </c>
      <c r="AR97">
        <f>IF(AQ97="",0,INDEX(データベース!R$2:R$27,MATCH(AQ97,データベース!Q$2:Q$27,0)))</f>
        <v>0</v>
      </c>
      <c r="AT97">
        <f>IF(AS97="",0,INDEX(データベース!T$2:T$4,MATCH(AS97,データベース!S$2:S$4,0)))</f>
        <v>0</v>
      </c>
      <c r="AV97">
        <f>IF(AU97="",0,INDEX(データベース!V$2:V$37,MATCH(AU97,データベース!U$2:U$37,0)))</f>
        <v>0</v>
      </c>
      <c r="AX97">
        <v>0</v>
      </c>
      <c r="AZ97">
        <v>0</v>
      </c>
      <c r="BB97">
        <v>0</v>
      </c>
    </row>
    <row r="98" spans="2:54">
      <c r="B98">
        <v>0</v>
      </c>
      <c r="G98">
        <f>IF(F98="",0,INDEX(データベース!D$2:D$4,MATCH(F98,データベース!C$2:C$4,0)))</f>
        <v>0</v>
      </c>
      <c r="J98" s="19" t="str">
        <f t="shared" si="6"/>
        <v>服装・</v>
      </c>
      <c r="L98" s="19" t="str">
        <f t="shared" si="7"/>
        <v>感情・</v>
      </c>
      <c r="N98" s="19" cm="1">
        <f t="array" aca="1" ref="N98" ca="1">IF(H98="",0,INDEX(データベース!$F$2:$F$5,MATCH(H98,データベース!$E$2:$E$5,0)))*1000
+IF(I98="",0,INDEX(データベース!$D$41:$D$44,MATCH(I98,OFFSET(データベース!$A$41,0,IF(H98="",0,INDEX(データベース!$F$2:$F$5,MATCH(H98,データベース!$E$2:$E$5,0)))-1,4,1),0),))*100
+IF(K98="",0,INDEX(データベース!$D$48:$D$52,MATCH(K98,OFFSET(データベース!$A$48,0,IF(H98="",0,INDEX(データベース!$F$2:$F$5,MATCH(H98,データベース!$E$2:$E$5,0)))-1,5,1),0),))*10
+IF(M98="",0,INDEX(データベース!$D$56:$D$62,MATCH(M98,OFFSET(データベース!$A$56,0,IF(H98="",0,INDEX(データベース!$F$2:$F$5,MATCH(H98,データベース!$E$2:$E$5,0)))-1,7,1),0),))</f>
        <v>0</v>
      </c>
      <c r="P98">
        <f>IF(O98="",0,INDEX(データベース!$H$2:$H$4,MATCH(O98,データベース!$G$2:$G$4,0)))</f>
        <v>0</v>
      </c>
      <c r="S98" s="18" t="str">
        <f t="shared" si="8"/>
        <v>服装・</v>
      </c>
      <c r="U98" s="18" t="str">
        <f t="shared" si="9"/>
        <v>感情・</v>
      </c>
      <c r="W98" s="18" cm="1">
        <f t="array" aca="1" ref="W98" ca="1">IF(Q98="",0,INDEX(データベース!$F$2:$F$5,MATCH(Q98,データベース!$E$2:$E$5,0)))*1000
+IF(R98="",0,INDEX(データベース!$D$41:$D$44,MATCH(R98,OFFSET(データベース!$A$41,0,IF(Q98="",0,INDEX(データベース!$F$2:$F$5,MATCH(Q98,データベース!$E$2:$E$5,0)))-1,4,1),0),))*100
+IF(T98="",0,INDEX(データベース!$D$48:$D$52,MATCH(T98,OFFSET(データベース!$A$48,0,IF(Q98="",0,INDEX(データベース!$F$2:$F$5,MATCH(Q98,データベース!$E$2:$E$5,0)))-1,5,1),0),))*10
+IF(V98="",0,INDEX(データベース!$D$56:$D$62,MATCH(V98,OFFSET(データベース!$A$56,0,IF(Q98="",0,INDEX(データベース!$F$2:$F$5,MATCH(Q98,データベース!$E$2:$E$5,0)))-1,7,1),0),))</f>
        <v>0</v>
      </c>
      <c r="Y98">
        <f>IF(X98="",0,INDEX(データベース!$H$2:$H$4,MATCH(X98,データベース!$G$2:$G$4,0)))</f>
        <v>0</v>
      </c>
      <c r="AB98" s="9" t="str">
        <f t="shared" si="10"/>
        <v>服装・</v>
      </c>
      <c r="AD98" s="9" t="str">
        <f t="shared" si="11"/>
        <v>感情・</v>
      </c>
      <c r="AF98" s="9" cm="1">
        <f t="array" aca="1" ref="AF98" ca="1">IF(Z98="",0,INDEX(データベース!$F$2:$F$5,MATCH(Z98,データベース!$E$2:$E$5,0)))*1000
+IF(AA98="",0,INDEX(データベース!$D$41:$D$44,MATCH(AA98,OFFSET(データベース!$A$41,0,IF(Z98="",0,INDEX(データベース!$F$2:$F$5,MATCH(Z98,データベース!$E$2:$E$5,0)))-1,4,1),0),))*100
+IF(AC98="",0,INDEX(データベース!$D$48:$D$52,MATCH(AC98,OFFSET(データベース!$A$48,0,IF(Z98="",0,INDEX(データベース!$F$2:$F$5,MATCH(Z98,データベース!$E$2:$E$5,0)))-1,5,1),0),))*10
+IF(AE98="",0,INDEX(データベース!$D$56:$D$62,MATCH(AE98,OFFSET(データベース!$A$56,0,IF(Z98="",0,INDEX(データベース!$F$2:$F$5,MATCH(Z98,データベース!$E$2:$E$5,0)))-1,7,1),0),))</f>
        <v>0</v>
      </c>
      <c r="AH98">
        <f>IF(AG98="",0,INDEX(データベース!$H$2:$H$4,MATCH(AG98,データベース!$G$2:$G$4,0)))</f>
        <v>0</v>
      </c>
      <c r="AJ98">
        <f>IF(AI98="",0,INDEX(データベース!J$2:J$2,MATCH(AI98,データベース!I$2:I$2,0)))</f>
        <v>0</v>
      </c>
      <c r="AL98">
        <f>IF(AK98="",0,INDEX(データベース!L$2:L$3,MATCH(AK98,データベース!K$2:K$3,0)))</f>
        <v>0</v>
      </c>
      <c r="AN98">
        <f>IF(AM98="",0,INDEX(データベース!N$2:N$5,MATCH(AM98,データベース!M$2:M$5,0)))</f>
        <v>0</v>
      </c>
      <c r="AO98" s="4"/>
      <c r="AP98">
        <f>IF(AO98="",0,INDEX(データベース!P$2:P$3,MATCH(AO98,データベース!O$2:O$3,0)))</f>
        <v>0</v>
      </c>
      <c r="AR98">
        <f>IF(AQ98="",0,INDEX(データベース!R$2:R$27,MATCH(AQ98,データベース!Q$2:Q$27,0)))</f>
        <v>0</v>
      </c>
      <c r="AT98">
        <f>IF(AS98="",0,INDEX(データベース!T$2:T$4,MATCH(AS98,データベース!S$2:S$4,0)))</f>
        <v>0</v>
      </c>
      <c r="AV98">
        <f>IF(AU98="",0,INDEX(データベース!V$2:V$37,MATCH(AU98,データベース!U$2:U$37,0)))</f>
        <v>0</v>
      </c>
      <c r="AX98">
        <v>0</v>
      </c>
      <c r="AZ98">
        <v>0</v>
      </c>
      <c r="BB98">
        <v>0</v>
      </c>
    </row>
    <row r="99" spans="2:54">
      <c r="B99">
        <v>0</v>
      </c>
      <c r="G99">
        <f>IF(F99="",0,INDEX(データベース!D$2:D$4,MATCH(F99,データベース!C$2:C$4,0)))</f>
        <v>0</v>
      </c>
      <c r="J99" s="19" t="str">
        <f t="shared" si="6"/>
        <v>服装・</v>
      </c>
      <c r="L99" s="19" t="str">
        <f t="shared" si="7"/>
        <v>感情・</v>
      </c>
      <c r="N99" s="19" cm="1">
        <f t="array" aca="1" ref="N99" ca="1">IF(H99="",0,INDEX(データベース!$F$2:$F$5,MATCH(H99,データベース!$E$2:$E$5,0)))*1000
+IF(I99="",0,INDEX(データベース!$D$41:$D$44,MATCH(I99,OFFSET(データベース!$A$41,0,IF(H99="",0,INDEX(データベース!$F$2:$F$5,MATCH(H99,データベース!$E$2:$E$5,0)))-1,4,1),0),))*100
+IF(K99="",0,INDEX(データベース!$D$48:$D$52,MATCH(K99,OFFSET(データベース!$A$48,0,IF(H99="",0,INDEX(データベース!$F$2:$F$5,MATCH(H99,データベース!$E$2:$E$5,0)))-1,5,1),0),))*10
+IF(M99="",0,INDEX(データベース!$D$56:$D$62,MATCH(M99,OFFSET(データベース!$A$56,0,IF(H99="",0,INDEX(データベース!$F$2:$F$5,MATCH(H99,データベース!$E$2:$E$5,0)))-1,7,1),0),))</f>
        <v>0</v>
      </c>
      <c r="P99">
        <f>IF(O99="",0,INDEX(データベース!$H$2:$H$4,MATCH(O99,データベース!$G$2:$G$4,0)))</f>
        <v>0</v>
      </c>
      <c r="S99" s="18" t="str">
        <f t="shared" si="8"/>
        <v>服装・</v>
      </c>
      <c r="U99" s="18" t="str">
        <f t="shared" si="9"/>
        <v>感情・</v>
      </c>
      <c r="W99" s="18" cm="1">
        <f t="array" aca="1" ref="W99" ca="1">IF(Q99="",0,INDEX(データベース!$F$2:$F$5,MATCH(Q99,データベース!$E$2:$E$5,0)))*1000
+IF(R99="",0,INDEX(データベース!$D$41:$D$44,MATCH(R99,OFFSET(データベース!$A$41,0,IF(Q99="",0,INDEX(データベース!$F$2:$F$5,MATCH(Q99,データベース!$E$2:$E$5,0)))-1,4,1),0),))*100
+IF(T99="",0,INDEX(データベース!$D$48:$D$52,MATCH(T99,OFFSET(データベース!$A$48,0,IF(Q99="",0,INDEX(データベース!$F$2:$F$5,MATCH(Q99,データベース!$E$2:$E$5,0)))-1,5,1),0),))*10
+IF(V99="",0,INDEX(データベース!$D$56:$D$62,MATCH(V99,OFFSET(データベース!$A$56,0,IF(Q99="",0,INDEX(データベース!$F$2:$F$5,MATCH(Q99,データベース!$E$2:$E$5,0)))-1,7,1),0),))</f>
        <v>0</v>
      </c>
      <c r="Y99">
        <f>IF(X99="",0,INDEX(データベース!$H$2:$H$4,MATCH(X99,データベース!$G$2:$G$4,0)))</f>
        <v>0</v>
      </c>
      <c r="AB99" s="9" t="str">
        <f t="shared" si="10"/>
        <v>服装・</v>
      </c>
      <c r="AD99" s="9" t="str">
        <f t="shared" si="11"/>
        <v>感情・</v>
      </c>
      <c r="AF99" s="9" cm="1">
        <f t="array" aca="1" ref="AF99" ca="1">IF(Z99="",0,INDEX(データベース!$F$2:$F$5,MATCH(Z99,データベース!$E$2:$E$5,0)))*1000
+IF(AA99="",0,INDEX(データベース!$D$41:$D$44,MATCH(AA99,OFFSET(データベース!$A$41,0,IF(Z99="",0,INDEX(データベース!$F$2:$F$5,MATCH(Z99,データベース!$E$2:$E$5,0)))-1,4,1),0),))*100
+IF(AC99="",0,INDEX(データベース!$D$48:$D$52,MATCH(AC99,OFFSET(データベース!$A$48,0,IF(Z99="",0,INDEX(データベース!$F$2:$F$5,MATCH(Z99,データベース!$E$2:$E$5,0)))-1,5,1),0),))*10
+IF(AE99="",0,INDEX(データベース!$D$56:$D$62,MATCH(AE99,OFFSET(データベース!$A$56,0,IF(Z99="",0,INDEX(データベース!$F$2:$F$5,MATCH(Z99,データベース!$E$2:$E$5,0)))-1,7,1),0),))</f>
        <v>0</v>
      </c>
      <c r="AH99">
        <f>IF(AG99="",0,INDEX(データベース!$H$2:$H$4,MATCH(AG99,データベース!$G$2:$G$4,0)))</f>
        <v>0</v>
      </c>
      <c r="AJ99">
        <f>IF(AI99="",0,INDEX(データベース!J$2:J$2,MATCH(AI99,データベース!I$2:I$2,0)))</f>
        <v>0</v>
      </c>
      <c r="AL99">
        <f>IF(AK99="",0,INDEX(データベース!L$2:L$3,MATCH(AK99,データベース!K$2:K$3,0)))</f>
        <v>0</v>
      </c>
      <c r="AN99">
        <f>IF(AM99="",0,INDEX(データベース!N$2:N$5,MATCH(AM99,データベース!M$2:M$5,0)))</f>
        <v>0</v>
      </c>
      <c r="AO99" s="4"/>
      <c r="AP99">
        <f>IF(AO99="",0,INDEX(データベース!P$2:P$3,MATCH(AO99,データベース!O$2:O$3,0)))</f>
        <v>0</v>
      </c>
      <c r="AR99">
        <f>IF(AQ99="",0,INDEX(データベース!R$2:R$27,MATCH(AQ99,データベース!Q$2:Q$27,0)))</f>
        <v>0</v>
      </c>
      <c r="AT99">
        <f>IF(AS99="",0,INDEX(データベース!T$2:T$4,MATCH(AS99,データベース!S$2:S$4,0)))</f>
        <v>0</v>
      </c>
      <c r="AV99">
        <f>IF(AU99="",0,INDEX(データベース!V$2:V$37,MATCH(AU99,データベース!U$2:U$37,0)))</f>
        <v>0</v>
      </c>
      <c r="AX99">
        <v>0</v>
      </c>
      <c r="AZ99">
        <v>0</v>
      </c>
      <c r="BB99">
        <v>0</v>
      </c>
    </row>
    <row r="100" spans="2:54">
      <c r="B100">
        <v>0</v>
      </c>
      <c r="G100">
        <f>IF(F100="",0,INDEX(データベース!D$2:D$4,MATCH(F100,データベース!C$2:C$4,0)))</f>
        <v>0</v>
      </c>
      <c r="J100" s="19" t="str">
        <f t="shared" si="6"/>
        <v>服装・</v>
      </c>
      <c r="L100" s="19" t="str">
        <f t="shared" si="7"/>
        <v>感情・</v>
      </c>
      <c r="N100" s="19" cm="1">
        <f t="array" aca="1" ref="N100" ca="1">IF(H100="",0,INDEX(データベース!$F$2:$F$5,MATCH(H100,データベース!$E$2:$E$5,0)))*1000
+IF(I100="",0,INDEX(データベース!$D$41:$D$44,MATCH(I100,OFFSET(データベース!$A$41,0,IF(H100="",0,INDEX(データベース!$F$2:$F$5,MATCH(H100,データベース!$E$2:$E$5,0)))-1,4,1),0),))*100
+IF(K100="",0,INDEX(データベース!$D$48:$D$52,MATCH(K100,OFFSET(データベース!$A$48,0,IF(H100="",0,INDEX(データベース!$F$2:$F$5,MATCH(H100,データベース!$E$2:$E$5,0)))-1,5,1),0),))*10
+IF(M100="",0,INDEX(データベース!$D$56:$D$62,MATCH(M100,OFFSET(データベース!$A$56,0,IF(H100="",0,INDEX(データベース!$F$2:$F$5,MATCH(H100,データベース!$E$2:$E$5,0)))-1,7,1),0),))</f>
        <v>0</v>
      </c>
      <c r="P100">
        <f>IF(O100="",0,INDEX(データベース!$H$2:$H$4,MATCH(O100,データベース!$G$2:$G$4,0)))</f>
        <v>0</v>
      </c>
      <c r="S100" s="18" t="str">
        <f t="shared" si="8"/>
        <v>服装・</v>
      </c>
      <c r="U100" s="18" t="str">
        <f t="shared" si="9"/>
        <v>感情・</v>
      </c>
      <c r="W100" s="18" cm="1">
        <f t="array" aca="1" ref="W100" ca="1">IF(Q100="",0,INDEX(データベース!$F$2:$F$5,MATCH(Q100,データベース!$E$2:$E$5,0)))*1000
+IF(R100="",0,INDEX(データベース!$D$41:$D$44,MATCH(R100,OFFSET(データベース!$A$41,0,IF(Q100="",0,INDEX(データベース!$F$2:$F$5,MATCH(Q100,データベース!$E$2:$E$5,0)))-1,4,1),0),))*100
+IF(T100="",0,INDEX(データベース!$D$48:$D$52,MATCH(T100,OFFSET(データベース!$A$48,0,IF(Q100="",0,INDEX(データベース!$F$2:$F$5,MATCH(Q100,データベース!$E$2:$E$5,0)))-1,5,1),0),))*10
+IF(V100="",0,INDEX(データベース!$D$56:$D$62,MATCH(V100,OFFSET(データベース!$A$56,0,IF(Q100="",0,INDEX(データベース!$F$2:$F$5,MATCH(Q100,データベース!$E$2:$E$5,0)))-1,7,1),0),))</f>
        <v>0</v>
      </c>
      <c r="Y100">
        <f>IF(X100="",0,INDEX(データベース!$H$2:$H$4,MATCH(X100,データベース!$G$2:$G$4,0)))</f>
        <v>0</v>
      </c>
      <c r="AB100" s="9" t="str">
        <f t="shared" si="10"/>
        <v>服装・</v>
      </c>
      <c r="AD100" s="9" t="str">
        <f t="shared" si="11"/>
        <v>感情・</v>
      </c>
      <c r="AF100" s="9" cm="1">
        <f t="array" aca="1" ref="AF100" ca="1">IF(Z100="",0,INDEX(データベース!$F$2:$F$5,MATCH(Z100,データベース!$E$2:$E$5,0)))*1000
+IF(AA100="",0,INDEX(データベース!$D$41:$D$44,MATCH(AA100,OFFSET(データベース!$A$41,0,IF(Z100="",0,INDEX(データベース!$F$2:$F$5,MATCH(Z100,データベース!$E$2:$E$5,0)))-1,4,1),0),))*100
+IF(AC100="",0,INDEX(データベース!$D$48:$D$52,MATCH(AC100,OFFSET(データベース!$A$48,0,IF(Z100="",0,INDEX(データベース!$F$2:$F$5,MATCH(Z100,データベース!$E$2:$E$5,0)))-1,5,1),0),))*10
+IF(AE100="",0,INDEX(データベース!$D$56:$D$62,MATCH(AE100,OFFSET(データベース!$A$56,0,IF(Z100="",0,INDEX(データベース!$F$2:$F$5,MATCH(Z100,データベース!$E$2:$E$5,0)))-1,7,1),0),))</f>
        <v>0</v>
      </c>
      <c r="AH100">
        <f>IF(AG100="",0,INDEX(データベース!$H$2:$H$4,MATCH(AG100,データベース!$G$2:$G$4,0)))</f>
        <v>0</v>
      </c>
      <c r="AJ100">
        <f>IF(AI100="",0,INDEX(データベース!J$2:J$2,MATCH(AI100,データベース!I$2:I$2,0)))</f>
        <v>0</v>
      </c>
      <c r="AL100">
        <f>IF(AK100="",0,INDEX(データベース!L$2:L$3,MATCH(AK100,データベース!K$2:K$3,0)))</f>
        <v>0</v>
      </c>
      <c r="AN100">
        <f>IF(AM100="",0,INDEX(データベース!N$2:N$5,MATCH(AM100,データベース!M$2:M$5,0)))</f>
        <v>0</v>
      </c>
      <c r="AO100" s="4"/>
      <c r="AP100">
        <f>IF(AO100="",0,INDEX(データベース!P$2:P$3,MATCH(AO100,データベース!O$2:O$3,0)))</f>
        <v>0</v>
      </c>
      <c r="AR100">
        <f>IF(AQ100="",0,INDEX(データベース!R$2:R$27,MATCH(AQ100,データベース!Q$2:Q$27,0)))</f>
        <v>0</v>
      </c>
      <c r="AT100">
        <f>IF(AS100="",0,INDEX(データベース!T$2:T$4,MATCH(AS100,データベース!S$2:S$4,0)))</f>
        <v>0</v>
      </c>
      <c r="AV100">
        <f>IF(AU100="",0,INDEX(データベース!V$2:V$37,MATCH(AU100,データベース!U$2:U$37,0)))</f>
        <v>0</v>
      </c>
      <c r="AX100">
        <v>0</v>
      </c>
      <c r="AZ100">
        <v>0</v>
      </c>
      <c r="BB100">
        <v>0</v>
      </c>
    </row>
    <row r="101" spans="2:54">
      <c r="B101">
        <v>0</v>
      </c>
      <c r="G101">
        <f>IF(F101="",0,INDEX(データベース!D$2:D$4,MATCH(F101,データベース!C$2:C$4,0)))</f>
        <v>0</v>
      </c>
      <c r="J101" s="19" t="str">
        <f t="shared" si="6"/>
        <v>服装・</v>
      </c>
      <c r="L101" s="19" t="str">
        <f t="shared" si="7"/>
        <v>感情・</v>
      </c>
      <c r="N101" s="19" cm="1">
        <f t="array" aca="1" ref="N101" ca="1">IF(H101="",0,INDEX(データベース!$F$2:$F$5,MATCH(H101,データベース!$E$2:$E$5,0)))*1000
+IF(I101="",0,INDEX(データベース!$D$41:$D$44,MATCH(I101,OFFSET(データベース!$A$41,0,IF(H101="",0,INDEX(データベース!$F$2:$F$5,MATCH(H101,データベース!$E$2:$E$5,0)))-1,4,1),0),))*100
+IF(K101="",0,INDEX(データベース!$D$48:$D$52,MATCH(K101,OFFSET(データベース!$A$48,0,IF(H101="",0,INDEX(データベース!$F$2:$F$5,MATCH(H101,データベース!$E$2:$E$5,0)))-1,5,1),0),))*10
+IF(M101="",0,INDEX(データベース!$D$56:$D$62,MATCH(M101,OFFSET(データベース!$A$56,0,IF(H101="",0,INDEX(データベース!$F$2:$F$5,MATCH(H101,データベース!$E$2:$E$5,0)))-1,7,1),0),))</f>
        <v>0</v>
      </c>
      <c r="P101">
        <f>IF(O101="",0,INDEX(データベース!$H$2:$H$4,MATCH(O101,データベース!$G$2:$G$4,0)))</f>
        <v>0</v>
      </c>
      <c r="S101" s="18" t="str">
        <f t="shared" si="8"/>
        <v>服装・</v>
      </c>
      <c r="U101" s="18" t="str">
        <f t="shared" si="9"/>
        <v>感情・</v>
      </c>
      <c r="W101" s="18" cm="1">
        <f t="array" aca="1" ref="W101" ca="1">IF(Q101="",0,INDEX(データベース!$F$2:$F$5,MATCH(Q101,データベース!$E$2:$E$5,0)))*1000
+IF(R101="",0,INDEX(データベース!$D$41:$D$44,MATCH(R101,OFFSET(データベース!$A$41,0,IF(Q101="",0,INDEX(データベース!$F$2:$F$5,MATCH(Q101,データベース!$E$2:$E$5,0)))-1,4,1),0),))*100
+IF(T101="",0,INDEX(データベース!$D$48:$D$52,MATCH(T101,OFFSET(データベース!$A$48,0,IF(Q101="",0,INDEX(データベース!$F$2:$F$5,MATCH(Q101,データベース!$E$2:$E$5,0)))-1,5,1),0),))*10
+IF(V101="",0,INDEX(データベース!$D$56:$D$62,MATCH(V101,OFFSET(データベース!$A$56,0,IF(Q101="",0,INDEX(データベース!$F$2:$F$5,MATCH(Q101,データベース!$E$2:$E$5,0)))-1,7,1),0),))</f>
        <v>0</v>
      </c>
      <c r="Y101">
        <f>IF(X101="",0,INDEX(データベース!$H$2:$H$4,MATCH(X101,データベース!$G$2:$G$4,0)))</f>
        <v>0</v>
      </c>
      <c r="AB101" s="9" t="str">
        <f t="shared" si="10"/>
        <v>服装・</v>
      </c>
      <c r="AD101" s="9" t="str">
        <f t="shared" si="11"/>
        <v>感情・</v>
      </c>
      <c r="AF101" s="9" cm="1">
        <f t="array" aca="1" ref="AF101" ca="1">IF(Z101="",0,INDEX(データベース!$F$2:$F$5,MATCH(Z101,データベース!$E$2:$E$5,0)))*1000
+IF(AA101="",0,INDEX(データベース!$D$41:$D$44,MATCH(AA101,OFFSET(データベース!$A$41,0,IF(Z101="",0,INDEX(データベース!$F$2:$F$5,MATCH(Z101,データベース!$E$2:$E$5,0)))-1,4,1),0),))*100
+IF(AC101="",0,INDEX(データベース!$D$48:$D$52,MATCH(AC101,OFFSET(データベース!$A$48,0,IF(Z101="",0,INDEX(データベース!$F$2:$F$5,MATCH(Z101,データベース!$E$2:$E$5,0)))-1,5,1),0),))*10
+IF(AE101="",0,INDEX(データベース!$D$56:$D$62,MATCH(AE101,OFFSET(データベース!$A$56,0,IF(Z101="",0,INDEX(データベース!$F$2:$F$5,MATCH(Z101,データベース!$E$2:$E$5,0)))-1,7,1),0),))</f>
        <v>0</v>
      </c>
      <c r="AH101">
        <f>IF(AG101="",0,INDEX(データベース!$H$2:$H$4,MATCH(AG101,データベース!$G$2:$G$4,0)))</f>
        <v>0</v>
      </c>
      <c r="AJ101">
        <f>IF(AI101="",0,INDEX(データベース!J$2:J$2,MATCH(AI101,データベース!I$2:I$2,0)))</f>
        <v>0</v>
      </c>
      <c r="AL101">
        <f>IF(AK101="",0,INDEX(データベース!L$2:L$3,MATCH(AK101,データベース!K$2:K$3,0)))</f>
        <v>0</v>
      </c>
      <c r="AN101">
        <f>IF(AM101="",0,INDEX(データベース!N$2:N$5,MATCH(AM101,データベース!M$2:M$5,0)))</f>
        <v>0</v>
      </c>
      <c r="AO101" s="4"/>
      <c r="AP101">
        <f>IF(AO101="",0,INDEX(データベース!P$2:P$3,MATCH(AO101,データベース!O$2:O$3,0)))</f>
        <v>0</v>
      </c>
      <c r="AR101">
        <f>IF(AQ101="",0,INDEX(データベース!R$2:R$27,MATCH(AQ101,データベース!Q$2:Q$27,0)))</f>
        <v>0</v>
      </c>
      <c r="AT101">
        <f>IF(AS101="",0,INDEX(データベース!T$2:T$4,MATCH(AS101,データベース!S$2:S$4,0)))</f>
        <v>0</v>
      </c>
      <c r="AV101">
        <f>IF(AU101="",0,INDEX(データベース!V$2:V$37,MATCH(AU101,データベース!U$2:U$37,0)))</f>
        <v>0</v>
      </c>
      <c r="AX101">
        <v>0</v>
      </c>
      <c r="AZ101">
        <v>0</v>
      </c>
      <c r="BB101">
        <v>0</v>
      </c>
    </row>
    <row r="102" spans="2:54">
      <c r="B102">
        <v>0</v>
      </c>
      <c r="G102">
        <f>IF(F102="",0,INDEX(データベース!D$2:D$4,MATCH(F102,データベース!C$2:C$4,0)))</f>
        <v>0</v>
      </c>
      <c r="J102" s="19" t="str">
        <f t="shared" si="6"/>
        <v>服装・</v>
      </c>
      <c r="L102" s="19" t="str">
        <f t="shared" si="7"/>
        <v>感情・</v>
      </c>
      <c r="N102" s="19" cm="1">
        <f t="array" aca="1" ref="N102" ca="1">IF(H102="",0,INDEX(データベース!$F$2:$F$5,MATCH(H102,データベース!$E$2:$E$5,0)))*1000
+IF(I102="",0,INDEX(データベース!$D$41:$D$44,MATCH(I102,OFFSET(データベース!$A$41,0,IF(H102="",0,INDEX(データベース!$F$2:$F$5,MATCH(H102,データベース!$E$2:$E$5,0)))-1,4,1),0),))*100
+IF(K102="",0,INDEX(データベース!$D$48:$D$52,MATCH(K102,OFFSET(データベース!$A$48,0,IF(H102="",0,INDEX(データベース!$F$2:$F$5,MATCH(H102,データベース!$E$2:$E$5,0)))-1,5,1),0),))*10
+IF(M102="",0,INDEX(データベース!$D$56:$D$62,MATCH(M102,OFFSET(データベース!$A$56,0,IF(H102="",0,INDEX(データベース!$F$2:$F$5,MATCH(H102,データベース!$E$2:$E$5,0)))-1,7,1),0),))</f>
        <v>0</v>
      </c>
      <c r="P102">
        <f>IF(O102="",0,INDEX(データベース!$H$2:$H$4,MATCH(O102,データベース!$G$2:$G$4,0)))</f>
        <v>0</v>
      </c>
      <c r="S102" s="18" t="str">
        <f t="shared" si="8"/>
        <v>服装・</v>
      </c>
      <c r="U102" s="18" t="str">
        <f t="shared" si="9"/>
        <v>感情・</v>
      </c>
      <c r="W102" s="18" cm="1">
        <f t="array" aca="1" ref="W102" ca="1">IF(Q102="",0,INDEX(データベース!$F$2:$F$5,MATCH(Q102,データベース!$E$2:$E$5,0)))*1000
+IF(R102="",0,INDEX(データベース!$D$41:$D$44,MATCH(R102,OFFSET(データベース!$A$41,0,IF(Q102="",0,INDEX(データベース!$F$2:$F$5,MATCH(Q102,データベース!$E$2:$E$5,0)))-1,4,1),0),))*100
+IF(T102="",0,INDEX(データベース!$D$48:$D$52,MATCH(T102,OFFSET(データベース!$A$48,0,IF(Q102="",0,INDEX(データベース!$F$2:$F$5,MATCH(Q102,データベース!$E$2:$E$5,0)))-1,5,1),0),))*10
+IF(V102="",0,INDEX(データベース!$D$56:$D$62,MATCH(V102,OFFSET(データベース!$A$56,0,IF(Q102="",0,INDEX(データベース!$F$2:$F$5,MATCH(Q102,データベース!$E$2:$E$5,0)))-1,7,1),0),))</f>
        <v>0</v>
      </c>
      <c r="Y102">
        <f>IF(X102="",0,INDEX(データベース!$H$2:$H$4,MATCH(X102,データベース!$G$2:$G$4,0)))</f>
        <v>0</v>
      </c>
      <c r="AB102" s="9" t="str">
        <f t="shared" si="10"/>
        <v>服装・</v>
      </c>
      <c r="AD102" s="9" t="str">
        <f t="shared" si="11"/>
        <v>感情・</v>
      </c>
      <c r="AF102" s="9" cm="1">
        <f t="array" aca="1" ref="AF102" ca="1">IF(Z102="",0,INDEX(データベース!$F$2:$F$5,MATCH(Z102,データベース!$E$2:$E$5,0)))*1000
+IF(AA102="",0,INDEX(データベース!$D$41:$D$44,MATCH(AA102,OFFSET(データベース!$A$41,0,IF(Z102="",0,INDEX(データベース!$F$2:$F$5,MATCH(Z102,データベース!$E$2:$E$5,0)))-1,4,1),0),))*100
+IF(AC102="",0,INDEX(データベース!$D$48:$D$52,MATCH(AC102,OFFSET(データベース!$A$48,0,IF(Z102="",0,INDEX(データベース!$F$2:$F$5,MATCH(Z102,データベース!$E$2:$E$5,0)))-1,5,1),0),))*10
+IF(AE102="",0,INDEX(データベース!$D$56:$D$62,MATCH(AE102,OFFSET(データベース!$A$56,0,IF(Z102="",0,INDEX(データベース!$F$2:$F$5,MATCH(Z102,データベース!$E$2:$E$5,0)))-1,7,1),0),))</f>
        <v>0</v>
      </c>
      <c r="AH102">
        <f>IF(AG102="",0,INDEX(データベース!$H$2:$H$4,MATCH(AG102,データベース!$G$2:$G$4,0)))</f>
        <v>0</v>
      </c>
      <c r="AJ102">
        <f>IF(AI102="",0,INDEX(データベース!J$2:J$2,MATCH(AI102,データベース!I$2:I$2,0)))</f>
        <v>0</v>
      </c>
      <c r="AL102">
        <f>IF(AK102="",0,INDEX(データベース!L$2:L$3,MATCH(AK102,データベース!K$2:K$3,0)))</f>
        <v>0</v>
      </c>
      <c r="AN102">
        <f>IF(AM102="",0,INDEX(データベース!N$2:N$5,MATCH(AM102,データベース!M$2:M$5,0)))</f>
        <v>0</v>
      </c>
      <c r="AO102" s="4"/>
      <c r="AP102">
        <f>IF(AO102="",0,INDEX(データベース!P$2:P$3,MATCH(AO102,データベース!O$2:O$3,0)))</f>
        <v>0</v>
      </c>
      <c r="AR102">
        <f>IF(AQ102="",0,INDEX(データベース!R$2:R$27,MATCH(AQ102,データベース!Q$2:Q$27,0)))</f>
        <v>0</v>
      </c>
      <c r="AT102">
        <f>IF(AS102="",0,INDEX(データベース!T$2:T$4,MATCH(AS102,データベース!S$2:S$4,0)))</f>
        <v>0</v>
      </c>
      <c r="AV102">
        <f>IF(AU102="",0,INDEX(データベース!V$2:V$37,MATCH(AU102,データベース!U$2:U$37,0)))</f>
        <v>0</v>
      </c>
      <c r="AX102">
        <v>0</v>
      </c>
      <c r="AZ102">
        <v>0</v>
      </c>
      <c r="BB102">
        <v>0</v>
      </c>
    </row>
    <row r="103" spans="2:54">
      <c r="B103">
        <v>0</v>
      </c>
      <c r="G103">
        <f>IF(F103="",0,INDEX(データベース!D$2:D$4,MATCH(F103,データベース!C$2:C$4,0)))</f>
        <v>0</v>
      </c>
      <c r="J103" s="19" t="str">
        <f t="shared" si="6"/>
        <v>服装・</v>
      </c>
      <c r="L103" s="19" t="str">
        <f t="shared" si="7"/>
        <v>感情・</v>
      </c>
      <c r="N103" s="19" cm="1">
        <f t="array" aca="1" ref="N103" ca="1">IF(H103="",0,INDEX(データベース!$F$2:$F$5,MATCH(H103,データベース!$E$2:$E$5,0)))*1000
+IF(I103="",0,INDEX(データベース!$D$41:$D$44,MATCH(I103,OFFSET(データベース!$A$41,0,IF(H103="",0,INDEX(データベース!$F$2:$F$5,MATCH(H103,データベース!$E$2:$E$5,0)))-1,4,1),0),))*100
+IF(K103="",0,INDEX(データベース!$D$48:$D$52,MATCH(K103,OFFSET(データベース!$A$48,0,IF(H103="",0,INDEX(データベース!$F$2:$F$5,MATCH(H103,データベース!$E$2:$E$5,0)))-1,5,1),0),))*10
+IF(M103="",0,INDEX(データベース!$D$56:$D$62,MATCH(M103,OFFSET(データベース!$A$56,0,IF(H103="",0,INDEX(データベース!$F$2:$F$5,MATCH(H103,データベース!$E$2:$E$5,0)))-1,7,1),0),))</f>
        <v>0</v>
      </c>
      <c r="P103">
        <f>IF(O103="",0,INDEX(データベース!$H$2:$H$4,MATCH(O103,データベース!$G$2:$G$4,0)))</f>
        <v>0</v>
      </c>
      <c r="S103" s="18" t="str">
        <f t="shared" si="8"/>
        <v>服装・</v>
      </c>
      <c r="U103" s="18" t="str">
        <f t="shared" si="9"/>
        <v>感情・</v>
      </c>
      <c r="W103" s="18" cm="1">
        <f t="array" aca="1" ref="W103" ca="1">IF(Q103="",0,INDEX(データベース!$F$2:$F$5,MATCH(Q103,データベース!$E$2:$E$5,0)))*1000
+IF(R103="",0,INDEX(データベース!$D$41:$D$44,MATCH(R103,OFFSET(データベース!$A$41,0,IF(Q103="",0,INDEX(データベース!$F$2:$F$5,MATCH(Q103,データベース!$E$2:$E$5,0)))-1,4,1),0),))*100
+IF(T103="",0,INDEX(データベース!$D$48:$D$52,MATCH(T103,OFFSET(データベース!$A$48,0,IF(Q103="",0,INDEX(データベース!$F$2:$F$5,MATCH(Q103,データベース!$E$2:$E$5,0)))-1,5,1),0),))*10
+IF(V103="",0,INDEX(データベース!$D$56:$D$62,MATCH(V103,OFFSET(データベース!$A$56,0,IF(Q103="",0,INDEX(データベース!$F$2:$F$5,MATCH(Q103,データベース!$E$2:$E$5,0)))-1,7,1),0),))</f>
        <v>0</v>
      </c>
      <c r="Y103">
        <f>IF(X103="",0,INDEX(データベース!$H$2:$H$4,MATCH(X103,データベース!$G$2:$G$4,0)))</f>
        <v>0</v>
      </c>
      <c r="AB103" s="9" t="str">
        <f t="shared" si="10"/>
        <v>服装・</v>
      </c>
      <c r="AD103" s="9" t="str">
        <f t="shared" si="11"/>
        <v>感情・</v>
      </c>
      <c r="AF103" s="9" cm="1">
        <f t="array" aca="1" ref="AF103" ca="1">IF(Z103="",0,INDEX(データベース!$F$2:$F$5,MATCH(Z103,データベース!$E$2:$E$5,0)))*1000
+IF(AA103="",0,INDEX(データベース!$D$41:$D$44,MATCH(AA103,OFFSET(データベース!$A$41,0,IF(Z103="",0,INDEX(データベース!$F$2:$F$5,MATCH(Z103,データベース!$E$2:$E$5,0)))-1,4,1),0),))*100
+IF(AC103="",0,INDEX(データベース!$D$48:$D$52,MATCH(AC103,OFFSET(データベース!$A$48,0,IF(Z103="",0,INDEX(データベース!$F$2:$F$5,MATCH(Z103,データベース!$E$2:$E$5,0)))-1,5,1),0),))*10
+IF(AE103="",0,INDEX(データベース!$D$56:$D$62,MATCH(AE103,OFFSET(データベース!$A$56,0,IF(Z103="",0,INDEX(データベース!$F$2:$F$5,MATCH(Z103,データベース!$E$2:$E$5,0)))-1,7,1),0),))</f>
        <v>0</v>
      </c>
      <c r="AH103">
        <f>IF(AG103="",0,INDEX(データベース!$H$2:$H$4,MATCH(AG103,データベース!$G$2:$G$4,0)))</f>
        <v>0</v>
      </c>
      <c r="AJ103">
        <f>IF(AI103="",0,INDEX(データベース!J$2:J$2,MATCH(AI103,データベース!I$2:I$2,0)))</f>
        <v>0</v>
      </c>
      <c r="AL103">
        <f>IF(AK103="",0,INDEX(データベース!L$2:L$3,MATCH(AK103,データベース!K$2:K$3,0)))</f>
        <v>0</v>
      </c>
      <c r="AN103">
        <f>IF(AM103="",0,INDEX(データベース!N$2:N$5,MATCH(AM103,データベース!M$2:M$5,0)))</f>
        <v>0</v>
      </c>
      <c r="AO103" s="4"/>
      <c r="AP103">
        <f>IF(AO103="",0,INDEX(データベース!P$2:P$3,MATCH(AO103,データベース!O$2:O$3,0)))</f>
        <v>0</v>
      </c>
      <c r="AR103">
        <f>IF(AQ103="",0,INDEX(データベース!R$2:R$27,MATCH(AQ103,データベース!Q$2:Q$27,0)))</f>
        <v>0</v>
      </c>
      <c r="AT103">
        <f>IF(AS103="",0,INDEX(データベース!T$2:T$4,MATCH(AS103,データベース!S$2:S$4,0)))</f>
        <v>0</v>
      </c>
      <c r="AV103">
        <f>IF(AU103="",0,INDEX(データベース!V$2:V$37,MATCH(AU103,データベース!U$2:U$37,0)))</f>
        <v>0</v>
      </c>
      <c r="AX103">
        <v>0</v>
      </c>
      <c r="AZ103">
        <v>0</v>
      </c>
      <c r="BB103">
        <v>0</v>
      </c>
    </row>
    <row r="104" spans="2:54">
      <c r="B104">
        <v>0</v>
      </c>
      <c r="G104">
        <f>IF(F104="",0,INDEX(データベース!D$2:D$4,MATCH(F104,データベース!C$2:C$4,0)))</f>
        <v>0</v>
      </c>
      <c r="J104" s="19" t="str">
        <f t="shared" si="6"/>
        <v>服装・</v>
      </c>
      <c r="L104" s="19" t="str">
        <f t="shared" si="7"/>
        <v>感情・</v>
      </c>
      <c r="N104" s="19" cm="1">
        <f t="array" aca="1" ref="N104" ca="1">IF(H104="",0,INDEX(データベース!$F$2:$F$5,MATCH(H104,データベース!$E$2:$E$5,0)))*1000
+IF(I104="",0,INDEX(データベース!$D$41:$D$44,MATCH(I104,OFFSET(データベース!$A$41,0,IF(H104="",0,INDEX(データベース!$F$2:$F$5,MATCH(H104,データベース!$E$2:$E$5,0)))-1,4,1),0),))*100
+IF(K104="",0,INDEX(データベース!$D$48:$D$52,MATCH(K104,OFFSET(データベース!$A$48,0,IF(H104="",0,INDEX(データベース!$F$2:$F$5,MATCH(H104,データベース!$E$2:$E$5,0)))-1,5,1),0),))*10
+IF(M104="",0,INDEX(データベース!$D$56:$D$62,MATCH(M104,OFFSET(データベース!$A$56,0,IF(H104="",0,INDEX(データベース!$F$2:$F$5,MATCH(H104,データベース!$E$2:$E$5,0)))-1,7,1),0),))</f>
        <v>0</v>
      </c>
      <c r="P104">
        <f>IF(O104="",0,INDEX(データベース!$H$2:$H$4,MATCH(O104,データベース!$G$2:$G$4,0)))</f>
        <v>0</v>
      </c>
      <c r="S104" s="18" t="str">
        <f t="shared" si="8"/>
        <v>服装・</v>
      </c>
      <c r="U104" s="18" t="str">
        <f t="shared" si="9"/>
        <v>感情・</v>
      </c>
      <c r="W104" s="18" cm="1">
        <f t="array" aca="1" ref="W104" ca="1">IF(Q104="",0,INDEX(データベース!$F$2:$F$5,MATCH(Q104,データベース!$E$2:$E$5,0)))*1000
+IF(R104="",0,INDEX(データベース!$D$41:$D$44,MATCH(R104,OFFSET(データベース!$A$41,0,IF(Q104="",0,INDEX(データベース!$F$2:$F$5,MATCH(Q104,データベース!$E$2:$E$5,0)))-1,4,1),0),))*100
+IF(T104="",0,INDEX(データベース!$D$48:$D$52,MATCH(T104,OFFSET(データベース!$A$48,0,IF(Q104="",0,INDEX(データベース!$F$2:$F$5,MATCH(Q104,データベース!$E$2:$E$5,0)))-1,5,1),0),))*10
+IF(V104="",0,INDEX(データベース!$D$56:$D$62,MATCH(V104,OFFSET(データベース!$A$56,0,IF(Q104="",0,INDEX(データベース!$F$2:$F$5,MATCH(Q104,データベース!$E$2:$E$5,0)))-1,7,1),0),))</f>
        <v>0</v>
      </c>
      <c r="Y104">
        <f>IF(X104="",0,INDEX(データベース!$H$2:$H$4,MATCH(X104,データベース!$G$2:$G$4,0)))</f>
        <v>0</v>
      </c>
      <c r="AB104" s="9" t="str">
        <f t="shared" si="10"/>
        <v>服装・</v>
      </c>
      <c r="AD104" s="9" t="str">
        <f t="shared" si="11"/>
        <v>感情・</v>
      </c>
      <c r="AF104" s="9" cm="1">
        <f t="array" aca="1" ref="AF104" ca="1">IF(Z104="",0,INDEX(データベース!$F$2:$F$5,MATCH(Z104,データベース!$E$2:$E$5,0)))*1000
+IF(AA104="",0,INDEX(データベース!$D$41:$D$44,MATCH(AA104,OFFSET(データベース!$A$41,0,IF(Z104="",0,INDEX(データベース!$F$2:$F$5,MATCH(Z104,データベース!$E$2:$E$5,0)))-1,4,1),0),))*100
+IF(AC104="",0,INDEX(データベース!$D$48:$D$52,MATCH(AC104,OFFSET(データベース!$A$48,0,IF(Z104="",0,INDEX(データベース!$F$2:$F$5,MATCH(Z104,データベース!$E$2:$E$5,0)))-1,5,1),0),))*10
+IF(AE104="",0,INDEX(データベース!$D$56:$D$62,MATCH(AE104,OFFSET(データベース!$A$56,0,IF(Z104="",0,INDEX(データベース!$F$2:$F$5,MATCH(Z104,データベース!$E$2:$E$5,0)))-1,7,1),0),))</f>
        <v>0</v>
      </c>
      <c r="AH104">
        <f>IF(AG104="",0,INDEX(データベース!$H$2:$H$4,MATCH(AG104,データベース!$G$2:$G$4,0)))</f>
        <v>0</v>
      </c>
      <c r="AJ104">
        <f>IF(AI104="",0,INDEX(データベース!J$2:J$2,MATCH(AI104,データベース!I$2:I$2,0)))</f>
        <v>0</v>
      </c>
      <c r="AL104">
        <f>IF(AK104="",0,INDEX(データベース!L$2:L$3,MATCH(AK104,データベース!K$2:K$3,0)))</f>
        <v>0</v>
      </c>
      <c r="AN104">
        <f>IF(AM104="",0,INDEX(データベース!N$2:N$5,MATCH(AM104,データベース!M$2:M$5,0)))</f>
        <v>0</v>
      </c>
      <c r="AO104" s="4"/>
      <c r="AP104">
        <f>IF(AO104="",0,INDEX(データベース!P$2:P$3,MATCH(AO104,データベース!O$2:O$3,0)))</f>
        <v>0</v>
      </c>
      <c r="AR104">
        <f>IF(AQ104="",0,INDEX(データベース!R$2:R$27,MATCH(AQ104,データベース!Q$2:Q$27,0)))</f>
        <v>0</v>
      </c>
      <c r="AT104">
        <f>IF(AS104="",0,INDEX(データベース!T$2:T$4,MATCH(AS104,データベース!S$2:S$4,0)))</f>
        <v>0</v>
      </c>
      <c r="AV104">
        <f>IF(AU104="",0,INDEX(データベース!V$2:V$37,MATCH(AU104,データベース!U$2:U$37,0)))</f>
        <v>0</v>
      </c>
      <c r="AX104">
        <v>0</v>
      </c>
      <c r="AZ104">
        <v>0</v>
      </c>
      <c r="BB104">
        <v>0</v>
      </c>
    </row>
    <row r="105" spans="2:54">
      <c r="B105">
        <v>0</v>
      </c>
      <c r="G105">
        <f>IF(F105="",0,INDEX(データベース!D$2:D$4,MATCH(F105,データベース!C$2:C$4,0)))</f>
        <v>0</v>
      </c>
      <c r="J105" s="19" t="str">
        <f t="shared" si="6"/>
        <v>服装・</v>
      </c>
      <c r="L105" s="19" t="str">
        <f t="shared" si="7"/>
        <v>感情・</v>
      </c>
      <c r="N105" s="19" cm="1">
        <f t="array" aca="1" ref="N105" ca="1">IF(H105="",0,INDEX(データベース!$F$2:$F$5,MATCH(H105,データベース!$E$2:$E$5,0)))*1000
+IF(I105="",0,INDEX(データベース!$D$41:$D$44,MATCH(I105,OFFSET(データベース!$A$41,0,IF(H105="",0,INDEX(データベース!$F$2:$F$5,MATCH(H105,データベース!$E$2:$E$5,0)))-1,4,1),0),))*100
+IF(K105="",0,INDEX(データベース!$D$48:$D$52,MATCH(K105,OFFSET(データベース!$A$48,0,IF(H105="",0,INDEX(データベース!$F$2:$F$5,MATCH(H105,データベース!$E$2:$E$5,0)))-1,5,1),0),))*10
+IF(M105="",0,INDEX(データベース!$D$56:$D$62,MATCH(M105,OFFSET(データベース!$A$56,0,IF(H105="",0,INDEX(データベース!$F$2:$F$5,MATCH(H105,データベース!$E$2:$E$5,0)))-1,7,1),0),))</f>
        <v>0</v>
      </c>
      <c r="P105">
        <f>IF(O105="",0,INDEX(データベース!$H$2:$H$4,MATCH(O105,データベース!$G$2:$G$4,0)))</f>
        <v>0</v>
      </c>
      <c r="S105" s="18" t="str">
        <f t="shared" si="8"/>
        <v>服装・</v>
      </c>
      <c r="U105" s="18" t="str">
        <f t="shared" si="9"/>
        <v>感情・</v>
      </c>
      <c r="W105" s="18" cm="1">
        <f t="array" aca="1" ref="W105" ca="1">IF(Q105="",0,INDEX(データベース!$F$2:$F$5,MATCH(Q105,データベース!$E$2:$E$5,0)))*1000
+IF(R105="",0,INDEX(データベース!$D$41:$D$44,MATCH(R105,OFFSET(データベース!$A$41,0,IF(Q105="",0,INDEX(データベース!$F$2:$F$5,MATCH(Q105,データベース!$E$2:$E$5,0)))-1,4,1),0),))*100
+IF(T105="",0,INDEX(データベース!$D$48:$D$52,MATCH(T105,OFFSET(データベース!$A$48,0,IF(Q105="",0,INDEX(データベース!$F$2:$F$5,MATCH(Q105,データベース!$E$2:$E$5,0)))-1,5,1),0),))*10
+IF(V105="",0,INDEX(データベース!$D$56:$D$62,MATCH(V105,OFFSET(データベース!$A$56,0,IF(Q105="",0,INDEX(データベース!$F$2:$F$5,MATCH(Q105,データベース!$E$2:$E$5,0)))-1,7,1),0),))</f>
        <v>0</v>
      </c>
      <c r="Y105">
        <f>IF(X105="",0,INDEX(データベース!$H$2:$H$4,MATCH(X105,データベース!$G$2:$G$4,0)))</f>
        <v>0</v>
      </c>
      <c r="AB105" s="9" t="str">
        <f t="shared" si="10"/>
        <v>服装・</v>
      </c>
      <c r="AD105" s="9" t="str">
        <f t="shared" si="11"/>
        <v>感情・</v>
      </c>
      <c r="AF105" s="9" cm="1">
        <f t="array" aca="1" ref="AF105" ca="1">IF(Z105="",0,INDEX(データベース!$F$2:$F$5,MATCH(Z105,データベース!$E$2:$E$5,0)))*1000
+IF(AA105="",0,INDEX(データベース!$D$41:$D$44,MATCH(AA105,OFFSET(データベース!$A$41,0,IF(Z105="",0,INDEX(データベース!$F$2:$F$5,MATCH(Z105,データベース!$E$2:$E$5,0)))-1,4,1),0),))*100
+IF(AC105="",0,INDEX(データベース!$D$48:$D$52,MATCH(AC105,OFFSET(データベース!$A$48,0,IF(Z105="",0,INDEX(データベース!$F$2:$F$5,MATCH(Z105,データベース!$E$2:$E$5,0)))-1,5,1),0),))*10
+IF(AE105="",0,INDEX(データベース!$D$56:$D$62,MATCH(AE105,OFFSET(データベース!$A$56,0,IF(Z105="",0,INDEX(データベース!$F$2:$F$5,MATCH(Z105,データベース!$E$2:$E$5,0)))-1,7,1),0),))</f>
        <v>0</v>
      </c>
      <c r="AH105">
        <f>IF(AG105="",0,INDEX(データベース!$H$2:$H$4,MATCH(AG105,データベース!$G$2:$G$4,0)))</f>
        <v>0</v>
      </c>
      <c r="AJ105">
        <f>IF(AI105="",0,INDEX(データベース!J$2:J$2,MATCH(AI105,データベース!I$2:I$2,0)))</f>
        <v>0</v>
      </c>
      <c r="AL105">
        <f>IF(AK105="",0,INDEX(データベース!L$2:L$3,MATCH(AK105,データベース!K$2:K$3,0)))</f>
        <v>0</v>
      </c>
      <c r="AN105">
        <f>IF(AM105="",0,INDEX(データベース!N$2:N$5,MATCH(AM105,データベース!M$2:M$5,0)))</f>
        <v>0</v>
      </c>
      <c r="AO105" s="4"/>
      <c r="AP105">
        <f>IF(AO105="",0,INDEX(データベース!P$2:P$3,MATCH(AO105,データベース!O$2:O$3,0)))</f>
        <v>0</v>
      </c>
      <c r="AR105">
        <f>IF(AQ105="",0,INDEX(データベース!R$2:R$27,MATCH(AQ105,データベース!Q$2:Q$27,0)))</f>
        <v>0</v>
      </c>
      <c r="AT105">
        <f>IF(AS105="",0,INDEX(データベース!T$2:T$4,MATCH(AS105,データベース!S$2:S$4,0)))</f>
        <v>0</v>
      </c>
      <c r="AV105">
        <f>IF(AU105="",0,INDEX(データベース!V$2:V$37,MATCH(AU105,データベース!U$2:U$37,0)))</f>
        <v>0</v>
      </c>
      <c r="AX105">
        <v>0</v>
      </c>
      <c r="AZ105">
        <v>0</v>
      </c>
      <c r="BB105">
        <v>0</v>
      </c>
    </row>
    <row r="106" spans="2:54">
      <c r="B106">
        <v>0</v>
      </c>
      <c r="G106">
        <f>IF(F106="",0,INDEX(データベース!D$2:D$4,MATCH(F106,データベース!C$2:C$4,0)))</f>
        <v>0</v>
      </c>
      <c r="J106" s="19" t="str">
        <f t="shared" si="6"/>
        <v>服装・</v>
      </c>
      <c r="L106" s="19" t="str">
        <f t="shared" si="7"/>
        <v>感情・</v>
      </c>
      <c r="N106" s="19" cm="1">
        <f t="array" aca="1" ref="N106" ca="1">IF(H106="",0,INDEX(データベース!$F$2:$F$5,MATCH(H106,データベース!$E$2:$E$5,0)))*1000
+IF(I106="",0,INDEX(データベース!$D$41:$D$44,MATCH(I106,OFFSET(データベース!$A$41,0,IF(H106="",0,INDEX(データベース!$F$2:$F$5,MATCH(H106,データベース!$E$2:$E$5,0)))-1,4,1),0),))*100
+IF(K106="",0,INDEX(データベース!$D$48:$D$52,MATCH(K106,OFFSET(データベース!$A$48,0,IF(H106="",0,INDEX(データベース!$F$2:$F$5,MATCH(H106,データベース!$E$2:$E$5,0)))-1,5,1),0),))*10
+IF(M106="",0,INDEX(データベース!$D$56:$D$62,MATCH(M106,OFFSET(データベース!$A$56,0,IF(H106="",0,INDEX(データベース!$F$2:$F$5,MATCH(H106,データベース!$E$2:$E$5,0)))-1,7,1),0),))</f>
        <v>0</v>
      </c>
      <c r="P106">
        <f>IF(O106="",0,INDEX(データベース!$H$2:$H$4,MATCH(O106,データベース!$G$2:$G$4,0)))</f>
        <v>0</v>
      </c>
      <c r="S106" s="18" t="str">
        <f t="shared" si="8"/>
        <v>服装・</v>
      </c>
      <c r="U106" s="18" t="str">
        <f t="shared" si="9"/>
        <v>感情・</v>
      </c>
      <c r="W106" s="18" cm="1">
        <f t="array" aca="1" ref="W106" ca="1">IF(Q106="",0,INDEX(データベース!$F$2:$F$5,MATCH(Q106,データベース!$E$2:$E$5,0)))*1000
+IF(R106="",0,INDEX(データベース!$D$41:$D$44,MATCH(R106,OFFSET(データベース!$A$41,0,IF(Q106="",0,INDEX(データベース!$F$2:$F$5,MATCH(Q106,データベース!$E$2:$E$5,0)))-1,4,1),0),))*100
+IF(T106="",0,INDEX(データベース!$D$48:$D$52,MATCH(T106,OFFSET(データベース!$A$48,0,IF(Q106="",0,INDEX(データベース!$F$2:$F$5,MATCH(Q106,データベース!$E$2:$E$5,0)))-1,5,1),0),))*10
+IF(V106="",0,INDEX(データベース!$D$56:$D$62,MATCH(V106,OFFSET(データベース!$A$56,0,IF(Q106="",0,INDEX(データベース!$F$2:$F$5,MATCH(Q106,データベース!$E$2:$E$5,0)))-1,7,1),0),))</f>
        <v>0</v>
      </c>
      <c r="Y106">
        <f>IF(X106="",0,INDEX(データベース!$H$2:$H$4,MATCH(X106,データベース!$G$2:$G$4,0)))</f>
        <v>0</v>
      </c>
      <c r="AB106" s="9" t="str">
        <f t="shared" si="10"/>
        <v>服装・</v>
      </c>
      <c r="AD106" s="9" t="str">
        <f t="shared" si="11"/>
        <v>感情・</v>
      </c>
      <c r="AF106" s="9" cm="1">
        <f t="array" aca="1" ref="AF106" ca="1">IF(Z106="",0,INDEX(データベース!$F$2:$F$5,MATCH(Z106,データベース!$E$2:$E$5,0)))*1000
+IF(AA106="",0,INDEX(データベース!$D$41:$D$44,MATCH(AA106,OFFSET(データベース!$A$41,0,IF(Z106="",0,INDEX(データベース!$F$2:$F$5,MATCH(Z106,データベース!$E$2:$E$5,0)))-1,4,1),0),))*100
+IF(AC106="",0,INDEX(データベース!$D$48:$D$52,MATCH(AC106,OFFSET(データベース!$A$48,0,IF(Z106="",0,INDEX(データベース!$F$2:$F$5,MATCH(Z106,データベース!$E$2:$E$5,0)))-1,5,1),0),))*10
+IF(AE106="",0,INDEX(データベース!$D$56:$D$62,MATCH(AE106,OFFSET(データベース!$A$56,0,IF(Z106="",0,INDEX(データベース!$F$2:$F$5,MATCH(Z106,データベース!$E$2:$E$5,0)))-1,7,1),0),))</f>
        <v>0</v>
      </c>
      <c r="AH106">
        <f>IF(AG106="",0,INDEX(データベース!$H$2:$H$4,MATCH(AG106,データベース!$G$2:$G$4,0)))</f>
        <v>0</v>
      </c>
      <c r="AJ106">
        <f>IF(AI106="",0,INDEX(データベース!J$2:J$2,MATCH(AI106,データベース!I$2:I$2,0)))</f>
        <v>0</v>
      </c>
      <c r="AL106">
        <f>IF(AK106="",0,INDEX(データベース!L$2:L$3,MATCH(AK106,データベース!K$2:K$3,0)))</f>
        <v>0</v>
      </c>
      <c r="AN106">
        <f>IF(AM106="",0,INDEX(データベース!N$2:N$5,MATCH(AM106,データベース!M$2:M$5,0)))</f>
        <v>0</v>
      </c>
      <c r="AO106" s="4"/>
      <c r="AP106">
        <f>IF(AO106="",0,INDEX(データベース!P$2:P$3,MATCH(AO106,データベース!O$2:O$3,0)))</f>
        <v>0</v>
      </c>
      <c r="AR106">
        <f>IF(AQ106="",0,INDEX(データベース!R$2:R$27,MATCH(AQ106,データベース!Q$2:Q$27,0)))</f>
        <v>0</v>
      </c>
      <c r="AT106">
        <f>IF(AS106="",0,INDEX(データベース!T$2:T$4,MATCH(AS106,データベース!S$2:S$4,0)))</f>
        <v>0</v>
      </c>
      <c r="AV106">
        <f>IF(AU106="",0,INDEX(データベース!V$2:V$37,MATCH(AU106,データベース!U$2:U$37,0)))</f>
        <v>0</v>
      </c>
      <c r="AX106">
        <v>0</v>
      </c>
      <c r="AZ106">
        <v>0</v>
      </c>
      <c r="BB106">
        <v>0</v>
      </c>
    </row>
    <row r="107" spans="2:54">
      <c r="B107">
        <v>0</v>
      </c>
      <c r="G107">
        <f>IF(F107="",0,INDEX(データベース!D$2:D$4,MATCH(F107,データベース!C$2:C$4,0)))</f>
        <v>0</v>
      </c>
      <c r="J107" s="19" t="str">
        <f t="shared" si="6"/>
        <v>服装・</v>
      </c>
      <c r="L107" s="19" t="str">
        <f t="shared" si="7"/>
        <v>感情・</v>
      </c>
      <c r="N107" s="19" cm="1">
        <f t="array" aca="1" ref="N107" ca="1">IF(H107="",0,INDEX(データベース!$F$2:$F$5,MATCH(H107,データベース!$E$2:$E$5,0)))*1000
+IF(I107="",0,INDEX(データベース!$D$41:$D$44,MATCH(I107,OFFSET(データベース!$A$41,0,IF(H107="",0,INDEX(データベース!$F$2:$F$5,MATCH(H107,データベース!$E$2:$E$5,0)))-1,4,1),0),))*100
+IF(K107="",0,INDEX(データベース!$D$48:$D$52,MATCH(K107,OFFSET(データベース!$A$48,0,IF(H107="",0,INDEX(データベース!$F$2:$F$5,MATCH(H107,データベース!$E$2:$E$5,0)))-1,5,1),0),))*10
+IF(M107="",0,INDEX(データベース!$D$56:$D$62,MATCH(M107,OFFSET(データベース!$A$56,0,IF(H107="",0,INDEX(データベース!$F$2:$F$5,MATCH(H107,データベース!$E$2:$E$5,0)))-1,7,1),0),))</f>
        <v>0</v>
      </c>
      <c r="P107">
        <f>IF(O107="",0,INDEX(データベース!$H$2:$H$4,MATCH(O107,データベース!$G$2:$G$4,0)))</f>
        <v>0</v>
      </c>
      <c r="S107" s="18" t="str">
        <f t="shared" si="8"/>
        <v>服装・</v>
      </c>
      <c r="U107" s="18" t="str">
        <f t="shared" si="9"/>
        <v>感情・</v>
      </c>
      <c r="W107" s="18" cm="1">
        <f t="array" aca="1" ref="W107" ca="1">IF(Q107="",0,INDEX(データベース!$F$2:$F$5,MATCH(Q107,データベース!$E$2:$E$5,0)))*1000
+IF(R107="",0,INDEX(データベース!$D$41:$D$44,MATCH(R107,OFFSET(データベース!$A$41,0,IF(Q107="",0,INDEX(データベース!$F$2:$F$5,MATCH(Q107,データベース!$E$2:$E$5,0)))-1,4,1),0),))*100
+IF(T107="",0,INDEX(データベース!$D$48:$D$52,MATCH(T107,OFFSET(データベース!$A$48,0,IF(Q107="",0,INDEX(データベース!$F$2:$F$5,MATCH(Q107,データベース!$E$2:$E$5,0)))-1,5,1),0),))*10
+IF(V107="",0,INDEX(データベース!$D$56:$D$62,MATCH(V107,OFFSET(データベース!$A$56,0,IF(Q107="",0,INDEX(データベース!$F$2:$F$5,MATCH(Q107,データベース!$E$2:$E$5,0)))-1,7,1),0),))</f>
        <v>0</v>
      </c>
      <c r="Y107">
        <f>IF(X107="",0,INDEX(データベース!$H$2:$H$4,MATCH(X107,データベース!$G$2:$G$4,0)))</f>
        <v>0</v>
      </c>
      <c r="AB107" s="9" t="str">
        <f t="shared" si="10"/>
        <v>服装・</v>
      </c>
      <c r="AD107" s="9" t="str">
        <f t="shared" si="11"/>
        <v>感情・</v>
      </c>
      <c r="AF107" s="9" cm="1">
        <f t="array" aca="1" ref="AF107" ca="1">IF(Z107="",0,INDEX(データベース!$F$2:$F$5,MATCH(Z107,データベース!$E$2:$E$5,0)))*1000
+IF(AA107="",0,INDEX(データベース!$D$41:$D$44,MATCH(AA107,OFFSET(データベース!$A$41,0,IF(Z107="",0,INDEX(データベース!$F$2:$F$5,MATCH(Z107,データベース!$E$2:$E$5,0)))-1,4,1),0),))*100
+IF(AC107="",0,INDEX(データベース!$D$48:$D$52,MATCH(AC107,OFFSET(データベース!$A$48,0,IF(Z107="",0,INDEX(データベース!$F$2:$F$5,MATCH(Z107,データベース!$E$2:$E$5,0)))-1,5,1),0),))*10
+IF(AE107="",0,INDEX(データベース!$D$56:$D$62,MATCH(AE107,OFFSET(データベース!$A$56,0,IF(Z107="",0,INDEX(データベース!$F$2:$F$5,MATCH(Z107,データベース!$E$2:$E$5,0)))-1,7,1),0),))</f>
        <v>0</v>
      </c>
      <c r="AH107">
        <f>IF(AG107="",0,INDEX(データベース!$H$2:$H$4,MATCH(AG107,データベース!$G$2:$G$4,0)))</f>
        <v>0</v>
      </c>
      <c r="AJ107">
        <f>IF(AI107="",0,INDEX(データベース!J$2:J$2,MATCH(AI107,データベース!I$2:I$2,0)))</f>
        <v>0</v>
      </c>
      <c r="AL107">
        <f>IF(AK107="",0,INDEX(データベース!L$2:L$3,MATCH(AK107,データベース!K$2:K$3,0)))</f>
        <v>0</v>
      </c>
      <c r="AN107">
        <f>IF(AM107="",0,INDEX(データベース!N$2:N$5,MATCH(AM107,データベース!M$2:M$5,0)))</f>
        <v>0</v>
      </c>
      <c r="AO107" s="4"/>
      <c r="AP107">
        <f>IF(AO107="",0,INDEX(データベース!P$2:P$3,MATCH(AO107,データベース!O$2:O$3,0)))</f>
        <v>0</v>
      </c>
      <c r="AR107">
        <f>IF(AQ107="",0,INDEX(データベース!R$2:R$27,MATCH(AQ107,データベース!Q$2:Q$27,0)))</f>
        <v>0</v>
      </c>
      <c r="AT107">
        <f>IF(AS107="",0,INDEX(データベース!T$2:T$4,MATCH(AS107,データベース!S$2:S$4,0)))</f>
        <v>0</v>
      </c>
      <c r="AV107">
        <f>IF(AU107="",0,INDEX(データベース!V$2:V$37,MATCH(AU107,データベース!U$2:U$37,0)))</f>
        <v>0</v>
      </c>
      <c r="AX107">
        <v>0</v>
      </c>
      <c r="AZ107">
        <v>0</v>
      </c>
      <c r="BB107">
        <v>0</v>
      </c>
    </row>
    <row r="108" spans="2:54">
      <c r="B108">
        <v>0</v>
      </c>
      <c r="G108">
        <f>IF(F108="",0,INDEX(データベース!D$2:D$4,MATCH(F108,データベース!C$2:C$4,0)))</f>
        <v>0</v>
      </c>
      <c r="J108" s="19" t="str">
        <f t="shared" si="6"/>
        <v>服装・</v>
      </c>
      <c r="L108" s="19" t="str">
        <f t="shared" si="7"/>
        <v>感情・</v>
      </c>
      <c r="N108" s="19" cm="1">
        <f t="array" aca="1" ref="N108" ca="1">IF(H108="",0,INDEX(データベース!$F$2:$F$5,MATCH(H108,データベース!$E$2:$E$5,0)))*1000
+IF(I108="",0,INDEX(データベース!$D$41:$D$44,MATCH(I108,OFFSET(データベース!$A$41,0,IF(H108="",0,INDEX(データベース!$F$2:$F$5,MATCH(H108,データベース!$E$2:$E$5,0)))-1,4,1),0),))*100
+IF(K108="",0,INDEX(データベース!$D$48:$D$52,MATCH(K108,OFFSET(データベース!$A$48,0,IF(H108="",0,INDEX(データベース!$F$2:$F$5,MATCH(H108,データベース!$E$2:$E$5,0)))-1,5,1),0),))*10
+IF(M108="",0,INDEX(データベース!$D$56:$D$62,MATCH(M108,OFFSET(データベース!$A$56,0,IF(H108="",0,INDEX(データベース!$F$2:$F$5,MATCH(H108,データベース!$E$2:$E$5,0)))-1,7,1),0),))</f>
        <v>0</v>
      </c>
      <c r="P108">
        <f>IF(O108="",0,INDEX(データベース!$H$2:$H$4,MATCH(O108,データベース!$G$2:$G$4,0)))</f>
        <v>0</v>
      </c>
      <c r="S108" s="18" t="str">
        <f t="shared" si="8"/>
        <v>服装・</v>
      </c>
      <c r="U108" s="18" t="str">
        <f t="shared" si="9"/>
        <v>感情・</v>
      </c>
      <c r="W108" s="18" cm="1">
        <f t="array" aca="1" ref="W108" ca="1">IF(Q108="",0,INDEX(データベース!$F$2:$F$5,MATCH(Q108,データベース!$E$2:$E$5,0)))*1000
+IF(R108="",0,INDEX(データベース!$D$41:$D$44,MATCH(R108,OFFSET(データベース!$A$41,0,IF(Q108="",0,INDEX(データベース!$F$2:$F$5,MATCH(Q108,データベース!$E$2:$E$5,0)))-1,4,1),0),))*100
+IF(T108="",0,INDEX(データベース!$D$48:$D$52,MATCH(T108,OFFSET(データベース!$A$48,0,IF(Q108="",0,INDEX(データベース!$F$2:$F$5,MATCH(Q108,データベース!$E$2:$E$5,0)))-1,5,1),0),))*10
+IF(V108="",0,INDEX(データベース!$D$56:$D$62,MATCH(V108,OFFSET(データベース!$A$56,0,IF(Q108="",0,INDEX(データベース!$F$2:$F$5,MATCH(Q108,データベース!$E$2:$E$5,0)))-1,7,1),0),))</f>
        <v>0</v>
      </c>
      <c r="Y108">
        <f>IF(X108="",0,INDEX(データベース!$H$2:$H$4,MATCH(X108,データベース!$G$2:$G$4,0)))</f>
        <v>0</v>
      </c>
      <c r="AB108" s="9" t="str">
        <f t="shared" si="10"/>
        <v>服装・</v>
      </c>
      <c r="AD108" s="9" t="str">
        <f t="shared" si="11"/>
        <v>感情・</v>
      </c>
      <c r="AF108" s="9" cm="1">
        <f t="array" aca="1" ref="AF108" ca="1">IF(Z108="",0,INDEX(データベース!$F$2:$F$5,MATCH(Z108,データベース!$E$2:$E$5,0)))*1000
+IF(AA108="",0,INDEX(データベース!$D$41:$D$44,MATCH(AA108,OFFSET(データベース!$A$41,0,IF(Z108="",0,INDEX(データベース!$F$2:$F$5,MATCH(Z108,データベース!$E$2:$E$5,0)))-1,4,1),0),))*100
+IF(AC108="",0,INDEX(データベース!$D$48:$D$52,MATCH(AC108,OFFSET(データベース!$A$48,0,IF(Z108="",0,INDEX(データベース!$F$2:$F$5,MATCH(Z108,データベース!$E$2:$E$5,0)))-1,5,1),0),))*10
+IF(AE108="",0,INDEX(データベース!$D$56:$D$62,MATCH(AE108,OFFSET(データベース!$A$56,0,IF(Z108="",0,INDEX(データベース!$F$2:$F$5,MATCH(Z108,データベース!$E$2:$E$5,0)))-1,7,1),0),))</f>
        <v>0</v>
      </c>
      <c r="AH108">
        <f>IF(AG108="",0,INDEX(データベース!$H$2:$H$4,MATCH(AG108,データベース!$G$2:$G$4,0)))</f>
        <v>0</v>
      </c>
      <c r="AJ108">
        <f>IF(AI108="",0,INDEX(データベース!J$2:J$2,MATCH(AI108,データベース!I$2:I$2,0)))</f>
        <v>0</v>
      </c>
      <c r="AL108">
        <f>IF(AK108="",0,INDEX(データベース!L$2:L$3,MATCH(AK108,データベース!K$2:K$3,0)))</f>
        <v>0</v>
      </c>
      <c r="AN108">
        <f>IF(AM108="",0,INDEX(データベース!N$2:N$5,MATCH(AM108,データベース!M$2:M$5,0)))</f>
        <v>0</v>
      </c>
      <c r="AO108" s="4"/>
      <c r="AP108">
        <f>IF(AO108="",0,INDEX(データベース!P$2:P$3,MATCH(AO108,データベース!O$2:O$3,0)))</f>
        <v>0</v>
      </c>
      <c r="AR108">
        <f>IF(AQ108="",0,INDEX(データベース!R$2:R$27,MATCH(AQ108,データベース!Q$2:Q$27,0)))</f>
        <v>0</v>
      </c>
      <c r="AT108">
        <f>IF(AS108="",0,INDEX(データベース!T$2:T$4,MATCH(AS108,データベース!S$2:S$4,0)))</f>
        <v>0</v>
      </c>
      <c r="AV108">
        <f>IF(AU108="",0,INDEX(データベース!V$2:V$37,MATCH(AU108,データベース!U$2:U$37,0)))</f>
        <v>0</v>
      </c>
      <c r="AX108">
        <v>0</v>
      </c>
      <c r="AZ108">
        <v>0</v>
      </c>
      <c r="BB108">
        <v>0</v>
      </c>
    </row>
    <row r="109" spans="2:54">
      <c r="B109">
        <v>0</v>
      </c>
      <c r="G109">
        <f>IF(F109="",0,INDEX(データベース!D$2:D$4,MATCH(F109,データベース!C$2:C$4,0)))</f>
        <v>0</v>
      </c>
      <c r="J109" s="19" t="str">
        <f t="shared" si="6"/>
        <v>服装・</v>
      </c>
      <c r="L109" s="19" t="str">
        <f t="shared" si="7"/>
        <v>感情・</v>
      </c>
      <c r="N109" s="19" cm="1">
        <f t="array" aca="1" ref="N109" ca="1">IF(H109="",0,INDEX(データベース!$F$2:$F$5,MATCH(H109,データベース!$E$2:$E$5,0)))*1000
+IF(I109="",0,INDEX(データベース!$D$41:$D$44,MATCH(I109,OFFSET(データベース!$A$41,0,IF(H109="",0,INDEX(データベース!$F$2:$F$5,MATCH(H109,データベース!$E$2:$E$5,0)))-1,4,1),0),))*100
+IF(K109="",0,INDEX(データベース!$D$48:$D$52,MATCH(K109,OFFSET(データベース!$A$48,0,IF(H109="",0,INDEX(データベース!$F$2:$F$5,MATCH(H109,データベース!$E$2:$E$5,0)))-1,5,1),0),))*10
+IF(M109="",0,INDEX(データベース!$D$56:$D$62,MATCH(M109,OFFSET(データベース!$A$56,0,IF(H109="",0,INDEX(データベース!$F$2:$F$5,MATCH(H109,データベース!$E$2:$E$5,0)))-1,7,1),0),))</f>
        <v>0</v>
      </c>
      <c r="P109">
        <f>IF(O109="",0,INDEX(データベース!$H$2:$H$4,MATCH(O109,データベース!$G$2:$G$4,0)))</f>
        <v>0</v>
      </c>
      <c r="S109" s="18" t="str">
        <f t="shared" si="8"/>
        <v>服装・</v>
      </c>
      <c r="U109" s="18" t="str">
        <f t="shared" si="9"/>
        <v>感情・</v>
      </c>
      <c r="W109" s="18" cm="1">
        <f t="array" aca="1" ref="W109" ca="1">IF(Q109="",0,INDEX(データベース!$F$2:$F$5,MATCH(Q109,データベース!$E$2:$E$5,0)))*1000
+IF(R109="",0,INDEX(データベース!$D$41:$D$44,MATCH(R109,OFFSET(データベース!$A$41,0,IF(Q109="",0,INDEX(データベース!$F$2:$F$5,MATCH(Q109,データベース!$E$2:$E$5,0)))-1,4,1),0),))*100
+IF(T109="",0,INDEX(データベース!$D$48:$D$52,MATCH(T109,OFFSET(データベース!$A$48,0,IF(Q109="",0,INDEX(データベース!$F$2:$F$5,MATCH(Q109,データベース!$E$2:$E$5,0)))-1,5,1),0),))*10
+IF(V109="",0,INDEX(データベース!$D$56:$D$62,MATCH(V109,OFFSET(データベース!$A$56,0,IF(Q109="",0,INDEX(データベース!$F$2:$F$5,MATCH(Q109,データベース!$E$2:$E$5,0)))-1,7,1),0),))</f>
        <v>0</v>
      </c>
      <c r="Y109">
        <f>IF(X109="",0,INDEX(データベース!$H$2:$H$4,MATCH(X109,データベース!$G$2:$G$4,0)))</f>
        <v>0</v>
      </c>
      <c r="AB109" s="9" t="str">
        <f t="shared" si="10"/>
        <v>服装・</v>
      </c>
      <c r="AD109" s="9" t="str">
        <f t="shared" si="11"/>
        <v>感情・</v>
      </c>
      <c r="AF109" s="9" cm="1">
        <f t="array" aca="1" ref="AF109" ca="1">IF(Z109="",0,INDEX(データベース!$F$2:$F$5,MATCH(Z109,データベース!$E$2:$E$5,0)))*1000
+IF(AA109="",0,INDEX(データベース!$D$41:$D$44,MATCH(AA109,OFFSET(データベース!$A$41,0,IF(Z109="",0,INDEX(データベース!$F$2:$F$5,MATCH(Z109,データベース!$E$2:$E$5,0)))-1,4,1),0),))*100
+IF(AC109="",0,INDEX(データベース!$D$48:$D$52,MATCH(AC109,OFFSET(データベース!$A$48,0,IF(Z109="",0,INDEX(データベース!$F$2:$F$5,MATCH(Z109,データベース!$E$2:$E$5,0)))-1,5,1),0),))*10
+IF(AE109="",0,INDEX(データベース!$D$56:$D$62,MATCH(AE109,OFFSET(データベース!$A$56,0,IF(Z109="",0,INDEX(データベース!$F$2:$F$5,MATCH(Z109,データベース!$E$2:$E$5,0)))-1,7,1),0),))</f>
        <v>0</v>
      </c>
      <c r="AH109">
        <f>IF(AG109="",0,INDEX(データベース!$H$2:$H$4,MATCH(AG109,データベース!$G$2:$G$4,0)))</f>
        <v>0</v>
      </c>
      <c r="AJ109">
        <f>IF(AI109="",0,INDEX(データベース!J$2:J$2,MATCH(AI109,データベース!I$2:I$2,0)))</f>
        <v>0</v>
      </c>
      <c r="AL109">
        <f>IF(AK109="",0,INDEX(データベース!L$2:L$3,MATCH(AK109,データベース!K$2:K$3,0)))</f>
        <v>0</v>
      </c>
      <c r="AN109">
        <f>IF(AM109="",0,INDEX(データベース!N$2:N$5,MATCH(AM109,データベース!M$2:M$5,0)))</f>
        <v>0</v>
      </c>
      <c r="AO109" s="4"/>
      <c r="AP109">
        <f>IF(AO109="",0,INDEX(データベース!P$2:P$3,MATCH(AO109,データベース!O$2:O$3,0)))</f>
        <v>0</v>
      </c>
      <c r="AR109">
        <f>IF(AQ109="",0,INDEX(データベース!R$2:R$27,MATCH(AQ109,データベース!Q$2:Q$27,0)))</f>
        <v>0</v>
      </c>
      <c r="AT109">
        <f>IF(AS109="",0,INDEX(データベース!T$2:T$4,MATCH(AS109,データベース!S$2:S$4,0)))</f>
        <v>0</v>
      </c>
      <c r="AV109">
        <f>IF(AU109="",0,INDEX(データベース!V$2:V$37,MATCH(AU109,データベース!U$2:U$37,0)))</f>
        <v>0</v>
      </c>
      <c r="AX109">
        <v>0</v>
      </c>
      <c r="AZ109">
        <v>0</v>
      </c>
      <c r="BB109">
        <v>0</v>
      </c>
    </row>
    <row r="110" spans="2:54">
      <c r="B110">
        <v>0</v>
      </c>
      <c r="G110">
        <f>IF(F110="",0,INDEX(データベース!D$2:D$4,MATCH(F110,データベース!C$2:C$4,0)))</f>
        <v>0</v>
      </c>
      <c r="J110" s="19" t="str">
        <f t="shared" si="6"/>
        <v>服装・</v>
      </c>
      <c r="L110" s="19" t="str">
        <f t="shared" si="7"/>
        <v>感情・</v>
      </c>
      <c r="N110" s="19" cm="1">
        <f t="array" aca="1" ref="N110" ca="1">IF(H110="",0,INDEX(データベース!$F$2:$F$5,MATCH(H110,データベース!$E$2:$E$5,0)))*1000
+IF(I110="",0,INDEX(データベース!$D$41:$D$44,MATCH(I110,OFFSET(データベース!$A$41,0,IF(H110="",0,INDEX(データベース!$F$2:$F$5,MATCH(H110,データベース!$E$2:$E$5,0)))-1,4,1),0),))*100
+IF(K110="",0,INDEX(データベース!$D$48:$D$52,MATCH(K110,OFFSET(データベース!$A$48,0,IF(H110="",0,INDEX(データベース!$F$2:$F$5,MATCH(H110,データベース!$E$2:$E$5,0)))-1,5,1),0),))*10
+IF(M110="",0,INDEX(データベース!$D$56:$D$62,MATCH(M110,OFFSET(データベース!$A$56,0,IF(H110="",0,INDEX(データベース!$F$2:$F$5,MATCH(H110,データベース!$E$2:$E$5,0)))-1,7,1),0),))</f>
        <v>0</v>
      </c>
      <c r="P110">
        <f>IF(O110="",0,INDEX(データベース!$H$2:$H$4,MATCH(O110,データベース!$G$2:$G$4,0)))</f>
        <v>0</v>
      </c>
      <c r="S110" s="18" t="str">
        <f t="shared" si="8"/>
        <v>服装・</v>
      </c>
      <c r="U110" s="18" t="str">
        <f t="shared" si="9"/>
        <v>感情・</v>
      </c>
      <c r="W110" s="18" cm="1">
        <f t="array" aca="1" ref="W110" ca="1">IF(Q110="",0,INDEX(データベース!$F$2:$F$5,MATCH(Q110,データベース!$E$2:$E$5,0)))*1000
+IF(R110="",0,INDEX(データベース!$D$41:$D$44,MATCH(R110,OFFSET(データベース!$A$41,0,IF(Q110="",0,INDEX(データベース!$F$2:$F$5,MATCH(Q110,データベース!$E$2:$E$5,0)))-1,4,1),0),))*100
+IF(T110="",0,INDEX(データベース!$D$48:$D$52,MATCH(T110,OFFSET(データベース!$A$48,0,IF(Q110="",0,INDEX(データベース!$F$2:$F$5,MATCH(Q110,データベース!$E$2:$E$5,0)))-1,5,1),0),))*10
+IF(V110="",0,INDEX(データベース!$D$56:$D$62,MATCH(V110,OFFSET(データベース!$A$56,0,IF(Q110="",0,INDEX(データベース!$F$2:$F$5,MATCH(Q110,データベース!$E$2:$E$5,0)))-1,7,1),0),))</f>
        <v>0</v>
      </c>
      <c r="Y110">
        <f>IF(X110="",0,INDEX(データベース!$H$2:$H$4,MATCH(X110,データベース!$G$2:$G$4,0)))</f>
        <v>0</v>
      </c>
      <c r="AB110" s="9" t="str">
        <f t="shared" si="10"/>
        <v>服装・</v>
      </c>
      <c r="AD110" s="9" t="str">
        <f t="shared" si="11"/>
        <v>感情・</v>
      </c>
      <c r="AF110" s="9" cm="1">
        <f t="array" aca="1" ref="AF110" ca="1">IF(Z110="",0,INDEX(データベース!$F$2:$F$5,MATCH(Z110,データベース!$E$2:$E$5,0)))*1000
+IF(AA110="",0,INDEX(データベース!$D$41:$D$44,MATCH(AA110,OFFSET(データベース!$A$41,0,IF(Z110="",0,INDEX(データベース!$F$2:$F$5,MATCH(Z110,データベース!$E$2:$E$5,0)))-1,4,1),0),))*100
+IF(AC110="",0,INDEX(データベース!$D$48:$D$52,MATCH(AC110,OFFSET(データベース!$A$48,0,IF(Z110="",0,INDEX(データベース!$F$2:$F$5,MATCH(Z110,データベース!$E$2:$E$5,0)))-1,5,1),0),))*10
+IF(AE110="",0,INDEX(データベース!$D$56:$D$62,MATCH(AE110,OFFSET(データベース!$A$56,0,IF(Z110="",0,INDEX(データベース!$F$2:$F$5,MATCH(Z110,データベース!$E$2:$E$5,0)))-1,7,1),0),))</f>
        <v>0</v>
      </c>
      <c r="AH110">
        <f>IF(AG110="",0,INDEX(データベース!$H$2:$H$4,MATCH(AG110,データベース!$G$2:$G$4,0)))</f>
        <v>0</v>
      </c>
      <c r="AJ110">
        <f>IF(AI110="",0,INDEX(データベース!J$2:J$2,MATCH(AI110,データベース!I$2:I$2,0)))</f>
        <v>0</v>
      </c>
      <c r="AL110">
        <f>IF(AK110="",0,INDEX(データベース!L$2:L$3,MATCH(AK110,データベース!K$2:K$3,0)))</f>
        <v>0</v>
      </c>
      <c r="AN110">
        <f>IF(AM110="",0,INDEX(データベース!N$2:N$5,MATCH(AM110,データベース!M$2:M$5,0)))</f>
        <v>0</v>
      </c>
      <c r="AO110" s="4"/>
      <c r="AP110">
        <f>IF(AO110="",0,INDEX(データベース!P$2:P$3,MATCH(AO110,データベース!O$2:O$3,0)))</f>
        <v>0</v>
      </c>
      <c r="AR110">
        <f>IF(AQ110="",0,INDEX(データベース!R$2:R$27,MATCH(AQ110,データベース!Q$2:Q$27,0)))</f>
        <v>0</v>
      </c>
      <c r="AT110">
        <f>IF(AS110="",0,INDEX(データベース!T$2:T$4,MATCH(AS110,データベース!S$2:S$4,0)))</f>
        <v>0</v>
      </c>
      <c r="AV110">
        <f>IF(AU110="",0,INDEX(データベース!V$2:V$37,MATCH(AU110,データベース!U$2:U$37,0)))</f>
        <v>0</v>
      </c>
      <c r="AX110">
        <v>0</v>
      </c>
      <c r="AZ110">
        <v>0</v>
      </c>
      <c r="BB110">
        <v>0</v>
      </c>
    </row>
    <row r="111" spans="2:54">
      <c r="B111">
        <v>0</v>
      </c>
      <c r="G111">
        <f>IF(F111="",0,INDEX(データベース!D$2:D$4,MATCH(F111,データベース!C$2:C$4,0)))</f>
        <v>0</v>
      </c>
      <c r="J111" s="19" t="str">
        <f t="shared" si="6"/>
        <v>服装・</v>
      </c>
      <c r="L111" s="19" t="str">
        <f t="shared" si="7"/>
        <v>感情・</v>
      </c>
      <c r="N111" s="19" cm="1">
        <f t="array" aca="1" ref="N111" ca="1">IF(H111="",0,INDEX(データベース!$F$2:$F$5,MATCH(H111,データベース!$E$2:$E$5,0)))*1000
+IF(I111="",0,INDEX(データベース!$D$41:$D$44,MATCH(I111,OFFSET(データベース!$A$41,0,IF(H111="",0,INDEX(データベース!$F$2:$F$5,MATCH(H111,データベース!$E$2:$E$5,0)))-1,4,1),0),))*100
+IF(K111="",0,INDEX(データベース!$D$48:$D$52,MATCH(K111,OFFSET(データベース!$A$48,0,IF(H111="",0,INDEX(データベース!$F$2:$F$5,MATCH(H111,データベース!$E$2:$E$5,0)))-1,5,1),0),))*10
+IF(M111="",0,INDEX(データベース!$D$56:$D$62,MATCH(M111,OFFSET(データベース!$A$56,0,IF(H111="",0,INDEX(データベース!$F$2:$F$5,MATCH(H111,データベース!$E$2:$E$5,0)))-1,7,1),0),))</f>
        <v>0</v>
      </c>
      <c r="P111">
        <f>IF(O111="",0,INDEX(データベース!$H$2:$H$4,MATCH(O111,データベース!$G$2:$G$4,0)))</f>
        <v>0</v>
      </c>
      <c r="S111" s="18" t="str">
        <f t="shared" si="8"/>
        <v>服装・</v>
      </c>
      <c r="U111" s="18" t="str">
        <f t="shared" si="9"/>
        <v>感情・</v>
      </c>
      <c r="W111" s="18" cm="1">
        <f t="array" aca="1" ref="W111" ca="1">IF(Q111="",0,INDEX(データベース!$F$2:$F$5,MATCH(Q111,データベース!$E$2:$E$5,0)))*1000
+IF(R111="",0,INDEX(データベース!$D$41:$D$44,MATCH(R111,OFFSET(データベース!$A$41,0,IF(Q111="",0,INDEX(データベース!$F$2:$F$5,MATCH(Q111,データベース!$E$2:$E$5,0)))-1,4,1),0),))*100
+IF(T111="",0,INDEX(データベース!$D$48:$D$52,MATCH(T111,OFFSET(データベース!$A$48,0,IF(Q111="",0,INDEX(データベース!$F$2:$F$5,MATCH(Q111,データベース!$E$2:$E$5,0)))-1,5,1),0),))*10
+IF(V111="",0,INDEX(データベース!$D$56:$D$62,MATCH(V111,OFFSET(データベース!$A$56,0,IF(Q111="",0,INDEX(データベース!$F$2:$F$5,MATCH(Q111,データベース!$E$2:$E$5,0)))-1,7,1),0),))</f>
        <v>0</v>
      </c>
      <c r="Y111">
        <f>IF(X111="",0,INDEX(データベース!$H$2:$H$4,MATCH(X111,データベース!$G$2:$G$4,0)))</f>
        <v>0</v>
      </c>
      <c r="AB111" s="9" t="str">
        <f t="shared" si="10"/>
        <v>服装・</v>
      </c>
      <c r="AD111" s="9" t="str">
        <f t="shared" si="11"/>
        <v>感情・</v>
      </c>
      <c r="AF111" s="9" cm="1">
        <f t="array" aca="1" ref="AF111" ca="1">IF(Z111="",0,INDEX(データベース!$F$2:$F$5,MATCH(Z111,データベース!$E$2:$E$5,0)))*1000
+IF(AA111="",0,INDEX(データベース!$D$41:$D$44,MATCH(AA111,OFFSET(データベース!$A$41,0,IF(Z111="",0,INDEX(データベース!$F$2:$F$5,MATCH(Z111,データベース!$E$2:$E$5,0)))-1,4,1),0),))*100
+IF(AC111="",0,INDEX(データベース!$D$48:$D$52,MATCH(AC111,OFFSET(データベース!$A$48,0,IF(Z111="",0,INDEX(データベース!$F$2:$F$5,MATCH(Z111,データベース!$E$2:$E$5,0)))-1,5,1),0),))*10
+IF(AE111="",0,INDEX(データベース!$D$56:$D$62,MATCH(AE111,OFFSET(データベース!$A$56,0,IF(Z111="",0,INDEX(データベース!$F$2:$F$5,MATCH(Z111,データベース!$E$2:$E$5,0)))-1,7,1),0),))</f>
        <v>0</v>
      </c>
      <c r="AH111">
        <f>IF(AG111="",0,INDEX(データベース!$H$2:$H$4,MATCH(AG111,データベース!$G$2:$G$4,0)))</f>
        <v>0</v>
      </c>
      <c r="AJ111">
        <f>IF(AI111="",0,INDEX(データベース!J$2:J$2,MATCH(AI111,データベース!I$2:I$2,0)))</f>
        <v>0</v>
      </c>
      <c r="AL111">
        <f>IF(AK111="",0,INDEX(データベース!L$2:L$3,MATCH(AK111,データベース!K$2:K$3,0)))</f>
        <v>0</v>
      </c>
      <c r="AN111">
        <f>IF(AM111="",0,INDEX(データベース!N$2:N$5,MATCH(AM111,データベース!M$2:M$5,0)))</f>
        <v>0</v>
      </c>
      <c r="AO111" s="4"/>
      <c r="AP111">
        <f>IF(AO111="",0,INDEX(データベース!P$2:P$3,MATCH(AO111,データベース!O$2:O$3,0)))</f>
        <v>0</v>
      </c>
      <c r="AR111">
        <f>IF(AQ111="",0,INDEX(データベース!R$2:R$27,MATCH(AQ111,データベース!Q$2:Q$27,0)))</f>
        <v>0</v>
      </c>
      <c r="AT111">
        <f>IF(AS111="",0,INDEX(データベース!T$2:T$4,MATCH(AS111,データベース!S$2:S$4,0)))</f>
        <v>0</v>
      </c>
      <c r="AV111">
        <f>IF(AU111="",0,INDEX(データベース!V$2:V$37,MATCH(AU111,データベース!U$2:U$37,0)))</f>
        <v>0</v>
      </c>
      <c r="AX111">
        <v>0</v>
      </c>
      <c r="AZ111">
        <v>0</v>
      </c>
      <c r="BB111">
        <v>0</v>
      </c>
    </row>
    <row r="112" spans="2:54">
      <c r="B112">
        <v>0</v>
      </c>
      <c r="G112">
        <f>IF(F112="",0,INDEX(データベース!D$2:D$4,MATCH(F112,データベース!C$2:C$4,0)))</f>
        <v>0</v>
      </c>
      <c r="J112" s="19" t="str">
        <f t="shared" si="6"/>
        <v>服装・</v>
      </c>
      <c r="L112" s="19" t="str">
        <f t="shared" si="7"/>
        <v>感情・</v>
      </c>
      <c r="N112" s="19" cm="1">
        <f t="array" aca="1" ref="N112" ca="1">IF(H112="",0,INDEX(データベース!$F$2:$F$5,MATCH(H112,データベース!$E$2:$E$5,0)))*1000
+IF(I112="",0,INDEX(データベース!$D$41:$D$44,MATCH(I112,OFFSET(データベース!$A$41,0,IF(H112="",0,INDEX(データベース!$F$2:$F$5,MATCH(H112,データベース!$E$2:$E$5,0)))-1,4,1),0),))*100
+IF(K112="",0,INDEX(データベース!$D$48:$D$52,MATCH(K112,OFFSET(データベース!$A$48,0,IF(H112="",0,INDEX(データベース!$F$2:$F$5,MATCH(H112,データベース!$E$2:$E$5,0)))-1,5,1),0),))*10
+IF(M112="",0,INDEX(データベース!$D$56:$D$62,MATCH(M112,OFFSET(データベース!$A$56,0,IF(H112="",0,INDEX(データベース!$F$2:$F$5,MATCH(H112,データベース!$E$2:$E$5,0)))-1,7,1),0),))</f>
        <v>0</v>
      </c>
      <c r="P112">
        <f>IF(O112="",0,INDEX(データベース!$H$2:$H$4,MATCH(O112,データベース!$G$2:$G$4,0)))</f>
        <v>0</v>
      </c>
      <c r="S112" s="18" t="str">
        <f t="shared" si="8"/>
        <v>服装・</v>
      </c>
      <c r="U112" s="18" t="str">
        <f t="shared" si="9"/>
        <v>感情・</v>
      </c>
      <c r="W112" s="18" cm="1">
        <f t="array" aca="1" ref="W112" ca="1">IF(Q112="",0,INDEX(データベース!$F$2:$F$5,MATCH(Q112,データベース!$E$2:$E$5,0)))*1000
+IF(R112="",0,INDEX(データベース!$D$41:$D$44,MATCH(R112,OFFSET(データベース!$A$41,0,IF(Q112="",0,INDEX(データベース!$F$2:$F$5,MATCH(Q112,データベース!$E$2:$E$5,0)))-1,4,1),0),))*100
+IF(T112="",0,INDEX(データベース!$D$48:$D$52,MATCH(T112,OFFSET(データベース!$A$48,0,IF(Q112="",0,INDEX(データベース!$F$2:$F$5,MATCH(Q112,データベース!$E$2:$E$5,0)))-1,5,1),0),))*10
+IF(V112="",0,INDEX(データベース!$D$56:$D$62,MATCH(V112,OFFSET(データベース!$A$56,0,IF(Q112="",0,INDEX(データベース!$F$2:$F$5,MATCH(Q112,データベース!$E$2:$E$5,0)))-1,7,1),0),))</f>
        <v>0</v>
      </c>
      <c r="Y112">
        <f>IF(X112="",0,INDEX(データベース!$H$2:$H$4,MATCH(X112,データベース!$G$2:$G$4,0)))</f>
        <v>0</v>
      </c>
      <c r="AB112" s="9" t="str">
        <f t="shared" si="10"/>
        <v>服装・</v>
      </c>
      <c r="AD112" s="9" t="str">
        <f t="shared" si="11"/>
        <v>感情・</v>
      </c>
      <c r="AF112" s="9" cm="1">
        <f t="array" aca="1" ref="AF112" ca="1">IF(Z112="",0,INDEX(データベース!$F$2:$F$5,MATCH(Z112,データベース!$E$2:$E$5,0)))*1000
+IF(AA112="",0,INDEX(データベース!$D$41:$D$44,MATCH(AA112,OFFSET(データベース!$A$41,0,IF(Z112="",0,INDEX(データベース!$F$2:$F$5,MATCH(Z112,データベース!$E$2:$E$5,0)))-1,4,1),0),))*100
+IF(AC112="",0,INDEX(データベース!$D$48:$D$52,MATCH(AC112,OFFSET(データベース!$A$48,0,IF(Z112="",0,INDEX(データベース!$F$2:$F$5,MATCH(Z112,データベース!$E$2:$E$5,0)))-1,5,1),0),))*10
+IF(AE112="",0,INDEX(データベース!$D$56:$D$62,MATCH(AE112,OFFSET(データベース!$A$56,0,IF(Z112="",0,INDEX(データベース!$F$2:$F$5,MATCH(Z112,データベース!$E$2:$E$5,0)))-1,7,1),0),))</f>
        <v>0</v>
      </c>
      <c r="AH112">
        <f>IF(AG112="",0,INDEX(データベース!$H$2:$H$4,MATCH(AG112,データベース!$G$2:$G$4,0)))</f>
        <v>0</v>
      </c>
      <c r="AJ112">
        <f>IF(AI112="",0,INDEX(データベース!J$2:J$2,MATCH(AI112,データベース!I$2:I$2,0)))</f>
        <v>0</v>
      </c>
      <c r="AL112">
        <f>IF(AK112="",0,INDEX(データベース!L$2:L$3,MATCH(AK112,データベース!K$2:K$3,0)))</f>
        <v>0</v>
      </c>
      <c r="AN112">
        <f>IF(AM112="",0,INDEX(データベース!N$2:N$5,MATCH(AM112,データベース!M$2:M$5,0)))</f>
        <v>0</v>
      </c>
      <c r="AO112" s="4"/>
      <c r="AP112">
        <f>IF(AO112="",0,INDEX(データベース!P$2:P$3,MATCH(AO112,データベース!O$2:O$3,0)))</f>
        <v>0</v>
      </c>
      <c r="AR112">
        <f>IF(AQ112="",0,INDEX(データベース!R$2:R$27,MATCH(AQ112,データベース!Q$2:Q$27,0)))</f>
        <v>0</v>
      </c>
      <c r="AT112">
        <f>IF(AS112="",0,INDEX(データベース!T$2:T$4,MATCH(AS112,データベース!S$2:S$4,0)))</f>
        <v>0</v>
      </c>
      <c r="AV112">
        <f>IF(AU112="",0,INDEX(データベース!V$2:V$37,MATCH(AU112,データベース!U$2:U$37,0)))</f>
        <v>0</v>
      </c>
      <c r="AX112">
        <v>0</v>
      </c>
      <c r="AZ112">
        <v>0</v>
      </c>
      <c r="BB112">
        <v>0</v>
      </c>
    </row>
    <row r="113" spans="2:54">
      <c r="B113">
        <v>0</v>
      </c>
      <c r="G113">
        <f>IF(F113="",0,INDEX(データベース!D$2:D$4,MATCH(F113,データベース!C$2:C$4,0)))</f>
        <v>0</v>
      </c>
      <c r="J113" s="19" t="str">
        <f t="shared" si="6"/>
        <v>服装・</v>
      </c>
      <c r="L113" s="19" t="str">
        <f t="shared" si="7"/>
        <v>感情・</v>
      </c>
      <c r="N113" s="19" cm="1">
        <f t="array" aca="1" ref="N113" ca="1">IF(H113="",0,INDEX(データベース!$F$2:$F$5,MATCH(H113,データベース!$E$2:$E$5,0)))*1000
+IF(I113="",0,INDEX(データベース!$D$41:$D$44,MATCH(I113,OFFSET(データベース!$A$41,0,IF(H113="",0,INDEX(データベース!$F$2:$F$5,MATCH(H113,データベース!$E$2:$E$5,0)))-1,4,1),0),))*100
+IF(K113="",0,INDEX(データベース!$D$48:$D$52,MATCH(K113,OFFSET(データベース!$A$48,0,IF(H113="",0,INDEX(データベース!$F$2:$F$5,MATCH(H113,データベース!$E$2:$E$5,0)))-1,5,1),0),))*10
+IF(M113="",0,INDEX(データベース!$D$56:$D$62,MATCH(M113,OFFSET(データベース!$A$56,0,IF(H113="",0,INDEX(データベース!$F$2:$F$5,MATCH(H113,データベース!$E$2:$E$5,0)))-1,7,1),0),))</f>
        <v>0</v>
      </c>
      <c r="P113">
        <f>IF(O113="",0,INDEX(データベース!$H$2:$H$4,MATCH(O113,データベース!$G$2:$G$4,0)))</f>
        <v>0</v>
      </c>
      <c r="S113" s="18" t="str">
        <f t="shared" si="8"/>
        <v>服装・</v>
      </c>
      <c r="U113" s="18" t="str">
        <f t="shared" si="9"/>
        <v>感情・</v>
      </c>
      <c r="W113" s="18" cm="1">
        <f t="array" aca="1" ref="W113" ca="1">IF(Q113="",0,INDEX(データベース!$F$2:$F$5,MATCH(Q113,データベース!$E$2:$E$5,0)))*1000
+IF(R113="",0,INDEX(データベース!$D$41:$D$44,MATCH(R113,OFFSET(データベース!$A$41,0,IF(Q113="",0,INDEX(データベース!$F$2:$F$5,MATCH(Q113,データベース!$E$2:$E$5,0)))-1,4,1),0),))*100
+IF(T113="",0,INDEX(データベース!$D$48:$D$52,MATCH(T113,OFFSET(データベース!$A$48,0,IF(Q113="",0,INDEX(データベース!$F$2:$F$5,MATCH(Q113,データベース!$E$2:$E$5,0)))-1,5,1),0),))*10
+IF(V113="",0,INDEX(データベース!$D$56:$D$62,MATCH(V113,OFFSET(データベース!$A$56,0,IF(Q113="",0,INDEX(データベース!$F$2:$F$5,MATCH(Q113,データベース!$E$2:$E$5,0)))-1,7,1),0),))</f>
        <v>0</v>
      </c>
      <c r="Y113">
        <f>IF(X113="",0,INDEX(データベース!$H$2:$H$4,MATCH(X113,データベース!$G$2:$G$4,0)))</f>
        <v>0</v>
      </c>
      <c r="AB113" s="9" t="str">
        <f t="shared" si="10"/>
        <v>服装・</v>
      </c>
      <c r="AD113" s="9" t="str">
        <f t="shared" si="11"/>
        <v>感情・</v>
      </c>
      <c r="AF113" s="9" cm="1">
        <f t="array" aca="1" ref="AF113" ca="1">IF(Z113="",0,INDEX(データベース!$F$2:$F$5,MATCH(Z113,データベース!$E$2:$E$5,0)))*1000
+IF(AA113="",0,INDEX(データベース!$D$41:$D$44,MATCH(AA113,OFFSET(データベース!$A$41,0,IF(Z113="",0,INDEX(データベース!$F$2:$F$5,MATCH(Z113,データベース!$E$2:$E$5,0)))-1,4,1),0),))*100
+IF(AC113="",0,INDEX(データベース!$D$48:$D$52,MATCH(AC113,OFFSET(データベース!$A$48,0,IF(Z113="",0,INDEX(データベース!$F$2:$F$5,MATCH(Z113,データベース!$E$2:$E$5,0)))-1,5,1),0),))*10
+IF(AE113="",0,INDEX(データベース!$D$56:$D$62,MATCH(AE113,OFFSET(データベース!$A$56,0,IF(Z113="",0,INDEX(データベース!$F$2:$F$5,MATCH(Z113,データベース!$E$2:$E$5,0)))-1,7,1),0),))</f>
        <v>0</v>
      </c>
      <c r="AH113">
        <f>IF(AG113="",0,INDEX(データベース!$H$2:$H$4,MATCH(AG113,データベース!$G$2:$G$4,0)))</f>
        <v>0</v>
      </c>
      <c r="AJ113">
        <f>IF(AI113="",0,INDEX(データベース!J$2:J$2,MATCH(AI113,データベース!I$2:I$2,0)))</f>
        <v>0</v>
      </c>
      <c r="AL113">
        <f>IF(AK113="",0,INDEX(データベース!L$2:L$3,MATCH(AK113,データベース!K$2:K$3,0)))</f>
        <v>0</v>
      </c>
      <c r="AN113">
        <f>IF(AM113="",0,INDEX(データベース!N$2:N$5,MATCH(AM113,データベース!M$2:M$5,0)))</f>
        <v>0</v>
      </c>
      <c r="AO113" s="4"/>
      <c r="AP113">
        <f>IF(AO113="",0,INDEX(データベース!P$2:P$3,MATCH(AO113,データベース!O$2:O$3,0)))</f>
        <v>0</v>
      </c>
      <c r="AR113">
        <f>IF(AQ113="",0,INDEX(データベース!R$2:R$27,MATCH(AQ113,データベース!Q$2:Q$27,0)))</f>
        <v>0</v>
      </c>
      <c r="AT113">
        <f>IF(AS113="",0,INDEX(データベース!T$2:T$4,MATCH(AS113,データベース!S$2:S$4,0)))</f>
        <v>0</v>
      </c>
      <c r="AV113">
        <f>IF(AU113="",0,INDEX(データベース!V$2:V$37,MATCH(AU113,データベース!U$2:U$37,0)))</f>
        <v>0</v>
      </c>
      <c r="AX113">
        <v>0</v>
      </c>
      <c r="AZ113">
        <v>0</v>
      </c>
      <c r="BB113">
        <v>0</v>
      </c>
    </row>
    <row r="114" spans="2:54">
      <c r="B114">
        <v>0</v>
      </c>
      <c r="G114">
        <f>IF(F114="",0,INDEX(データベース!D$2:D$4,MATCH(F114,データベース!C$2:C$4,0)))</f>
        <v>0</v>
      </c>
      <c r="J114" s="19" t="str">
        <f t="shared" si="6"/>
        <v>服装・</v>
      </c>
      <c r="L114" s="19" t="str">
        <f t="shared" si="7"/>
        <v>感情・</v>
      </c>
      <c r="N114" s="19" cm="1">
        <f t="array" aca="1" ref="N114" ca="1">IF(H114="",0,INDEX(データベース!$F$2:$F$5,MATCH(H114,データベース!$E$2:$E$5,0)))*1000
+IF(I114="",0,INDEX(データベース!$D$41:$D$44,MATCH(I114,OFFSET(データベース!$A$41,0,IF(H114="",0,INDEX(データベース!$F$2:$F$5,MATCH(H114,データベース!$E$2:$E$5,0)))-1,4,1),0),))*100
+IF(K114="",0,INDEX(データベース!$D$48:$D$52,MATCH(K114,OFFSET(データベース!$A$48,0,IF(H114="",0,INDEX(データベース!$F$2:$F$5,MATCH(H114,データベース!$E$2:$E$5,0)))-1,5,1),0),))*10
+IF(M114="",0,INDEX(データベース!$D$56:$D$62,MATCH(M114,OFFSET(データベース!$A$56,0,IF(H114="",0,INDEX(データベース!$F$2:$F$5,MATCH(H114,データベース!$E$2:$E$5,0)))-1,7,1),0),))</f>
        <v>0</v>
      </c>
      <c r="P114">
        <f>IF(O114="",0,INDEX(データベース!$H$2:$H$4,MATCH(O114,データベース!$G$2:$G$4,0)))</f>
        <v>0</v>
      </c>
      <c r="S114" s="18" t="str">
        <f t="shared" si="8"/>
        <v>服装・</v>
      </c>
      <c r="U114" s="18" t="str">
        <f t="shared" si="9"/>
        <v>感情・</v>
      </c>
      <c r="W114" s="18" cm="1">
        <f t="array" aca="1" ref="W114" ca="1">IF(Q114="",0,INDEX(データベース!$F$2:$F$5,MATCH(Q114,データベース!$E$2:$E$5,0)))*1000
+IF(R114="",0,INDEX(データベース!$D$41:$D$44,MATCH(R114,OFFSET(データベース!$A$41,0,IF(Q114="",0,INDEX(データベース!$F$2:$F$5,MATCH(Q114,データベース!$E$2:$E$5,0)))-1,4,1),0),))*100
+IF(T114="",0,INDEX(データベース!$D$48:$D$52,MATCH(T114,OFFSET(データベース!$A$48,0,IF(Q114="",0,INDEX(データベース!$F$2:$F$5,MATCH(Q114,データベース!$E$2:$E$5,0)))-1,5,1),0),))*10
+IF(V114="",0,INDEX(データベース!$D$56:$D$62,MATCH(V114,OFFSET(データベース!$A$56,0,IF(Q114="",0,INDEX(データベース!$F$2:$F$5,MATCH(Q114,データベース!$E$2:$E$5,0)))-1,7,1),0),))</f>
        <v>0</v>
      </c>
      <c r="Y114">
        <f>IF(X114="",0,INDEX(データベース!$H$2:$H$4,MATCH(X114,データベース!$G$2:$G$4,0)))</f>
        <v>0</v>
      </c>
      <c r="AB114" s="9" t="str">
        <f t="shared" si="10"/>
        <v>服装・</v>
      </c>
      <c r="AD114" s="9" t="str">
        <f t="shared" si="11"/>
        <v>感情・</v>
      </c>
      <c r="AF114" s="9" cm="1">
        <f t="array" aca="1" ref="AF114" ca="1">IF(Z114="",0,INDEX(データベース!$F$2:$F$5,MATCH(Z114,データベース!$E$2:$E$5,0)))*1000
+IF(AA114="",0,INDEX(データベース!$D$41:$D$44,MATCH(AA114,OFFSET(データベース!$A$41,0,IF(Z114="",0,INDEX(データベース!$F$2:$F$5,MATCH(Z114,データベース!$E$2:$E$5,0)))-1,4,1),0),))*100
+IF(AC114="",0,INDEX(データベース!$D$48:$D$52,MATCH(AC114,OFFSET(データベース!$A$48,0,IF(Z114="",0,INDEX(データベース!$F$2:$F$5,MATCH(Z114,データベース!$E$2:$E$5,0)))-1,5,1),0),))*10
+IF(AE114="",0,INDEX(データベース!$D$56:$D$62,MATCH(AE114,OFFSET(データベース!$A$56,0,IF(Z114="",0,INDEX(データベース!$F$2:$F$5,MATCH(Z114,データベース!$E$2:$E$5,0)))-1,7,1),0),))</f>
        <v>0</v>
      </c>
      <c r="AH114">
        <f>IF(AG114="",0,INDEX(データベース!$H$2:$H$4,MATCH(AG114,データベース!$G$2:$G$4,0)))</f>
        <v>0</v>
      </c>
      <c r="AJ114">
        <f>IF(AI114="",0,INDEX(データベース!J$2:J$2,MATCH(AI114,データベース!I$2:I$2,0)))</f>
        <v>0</v>
      </c>
      <c r="AL114">
        <f>IF(AK114="",0,INDEX(データベース!L$2:L$3,MATCH(AK114,データベース!K$2:K$3,0)))</f>
        <v>0</v>
      </c>
      <c r="AN114">
        <f>IF(AM114="",0,INDEX(データベース!N$2:N$5,MATCH(AM114,データベース!M$2:M$5,0)))</f>
        <v>0</v>
      </c>
      <c r="AO114" s="4"/>
      <c r="AP114">
        <f>IF(AO114="",0,INDEX(データベース!P$2:P$3,MATCH(AO114,データベース!O$2:O$3,0)))</f>
        <v>0</v>
      </c>
      <c r="AR114">
        <f>IF(AQ114="",0,INDEX(データベース!R$2:R$27,MATCH(AQ114,データベース!Q$2:Q$27,0)))</f>
        <v>0</v>
      </c>
      <c r="AT114">
        <f>IF(AS114="",0,INDEX(データベース!T$2:T$4,MATCH(AS114,データベース!S$2:S$4,0)))</f>
        <v>0</v>
      </c>
      <c r="AV114">
        <f>IF(AU114="",0,INDEX(データベース!V$2:V$37,MATCH(AU114,データベース!U$2:U$37,0)))</f>
        <v>0</v>
      </c>
      <c r="AX114">
        <v>0</v>
      </c>
      <c r="AZ114">
        <v>0</v>
      </c>
      <c r="BB114">
        <v>0</v>
      </c>
    </row>
    <row r="115" spans="2:54">
      <c r="B115">
        <v>0</v>
      </c>
      <c r="G115">
        <f>IF(F115="",0,INDEX(データベース!D$2:D$4,MATCH(F115,データベース!C$2:C$4,0)))</f>
        <v>0</v>
      </c>
      <c r="J115" s="19" t="str">
        <f t="shared" si="6"/>
        <v>服装・</v>
      </c>
      <c r="L115" s="19" t="str">
        <f t="shared" si="7"/>
        <v>感情・</v>
      </c>
      <c r="N115" s="19" cm="1">
        <f t="array" aca="1" ref="N115" ca="1">IF(H115="",0,INDEX(データベース!$F$2:$F$5,MATCH(H115,データベース!$E$2:$E$5,0)))*1000
+IF(I115="",0,INDEX(データベース!$D$41:$D$44,MATCH(I115,OFFSET(データベース!$A$41,0,IF(H115="",0,INDEX(データベース!$F$2:$F$5,MATCH(H115,データベース!$E$2:$E$5,0)))-1,4,1),0),))*100
+IF(K115="",0,INDEX(データベース!$D$48:$D$52,MATCH(K115,OFFSET(データベース!$A$48,0,IF(H115="",0,INDEX(データベース!$F$2:$F$5,MATCH(H115,データベース!$E$2:$E$5,0)))-1,5,1),0),))*10
+IF(M115="",0,INDEX(データベース!$D$56:$D$62,MATCH(M115,OFFSET(データベース!$A$56,0,IF(H115="",0,INDEX(データベース!$F$2:$F$5,MATCH(H115,データベース!$E$2:$E$5,0)))-1,7,1),0),))</f>
        <v>0</v>
      </c>
      <c r="P115">
        <f>IF(O115="",0,INDEX(データベース!$H$2:$H$4,MATCH(O115,データベース!$G$2:$G$4,0)))</f>
        <v>0</v>
      </c>
      <c r="S115" s="18" t="str">
        <f t="shared" si="8"/>
        <v>服装・</v>
      </c>
      <c r="U115" s="18" t="str">
        <f t="shared" si="9"/>
        <v>感情・</v>
      </c>
      <c r="W115" s="18" cm="1">
        <f t="array" aca="1" ref="W115" ca="1">IF(Q115="",0,INDEX(データベース!$F$2:$F$5,MATCH(Q115,データベース!$E$2:$E$5,0)))*1000
+IF(R115="",0,INDEX(データベース!$D$41:$D$44,MATCH(R115,OFFSET(データベース!$A$41,0,IF(Q115="",0,INDEX(データベース!$F$2:$F$5,MATCH(Q115,データベース!$E$2:$E$5,0)))-1,4,1),0),))*100
+IF(T115="",0,INDEX(データベース!$D$48:$D$52,MATCH(T115,OFFSET(データベース!$A$48,0,IF(Q115="",0,INDEX(データベース!$F$2:$F$5,MATCH(Q115,データベース!$E$2:$E$5,0)))-1,5,1),0),))*10
+IF(V115="",0,INDEX(データベース!$D$56:$D$62,MATCH(V115,OFFSET(データベース!$A$56,0,IF(Q115="",0,INDEX(データベース!$F$2:$F$5,MATCH(Q115,データベース!$E$2:$E$5,0)))-1,7,1),0),))</f>
        <v>0</v>
      </c>
      <c r="Y115">
        <f>IF(X115="",0,INDEX(データベース!$H$2:$H$4,MATCH(X115,データベース!$G$2:$G$4,0)))</f>
        <v>0</v>
      </c>
      <c r="AB115" s="9" t="str">
        <f t="shared" si="10"/>
        <v>服装・</v>
      </c>
      <c r="AD115" s="9" t="str">
        <f t="shared" si="11"/>
        <v>感情・</v>
      </c>
      <c r="AF115" s="9" cm="1">
        <f t="array" aca="1" ref="AF115" ca="1">IF(Z115="",0,INDEX(データベース!$F$2:$F$5,MATCH(Z115,データベース!$E$2:$E$5,0)))*1000
+IF(AA115="",0,INDEX(データベース!$D$41:$D$44,MATCH(AA115,OFFSET(データベース!$A$41,0,IF(Z115="",0,INDEX(データベース!$F$2:$F$5,MATCH(Z115,データベース!$E$2:$E$5,0)))-1,4,1),0),))*100
+IF(AC115="",0,INDEX(データベース!$D$48:$D$52,MATCH(AC115,OFFSET(データベース!$A$48,0,IF(Z115="",0,INDEX(データベース!$F$2:$F$5,MATCH(Z115,データベース!$E$2:$E$5,0)))-1,5,1),0),))*10
+IF(AE115="",0,INDEX(データベース!$D$56:$D$62,MATCH(AE115,OFFSET(データベース!$A$56,0,IF(Z115="",0,INDEX(データベース!$F$2:$F$5,MATCH(Z115,データベース!$E$2:$E$5,0)))-1,7,1),0),))</f>
        <v>0</v>
      </c>
      <c r="AH115">
        <f>IF(AG115="",0,INDEX(データベース!$H$2:$H$4,MATCH(AG115,データベース!$G$2:$G$4,0)))</f>
        <v>0</v>
      </c>
      <c r="AJ115">
        <f>IF(AI115="",0,INDEX(データベース!J$2:J$2,MATCH(AI115,データベース!I$2:I$2,0)))</f>
        <v>0</v>
      </c>
      <c r="AL115">
        <f>IF(AK115="",0,INDEX(データベース!L$2:L$3,MATCH(AK115,データベース!K$2:K$3,0)))</f>
        <v>0</v>
      </c>
      <c r="AN115">
        <f>IF(AM115="",0,INDEX(データベース!N$2:N$5,MATCH(AM115,データベース!M$2:M$5,0)))</f>
        <v>0</v>
      </c>
      <c r="AO115" s="4"/>
      <c r="AP115">
        <f>IF(AO115="",0,INDEX(データベース!P$2:P$3,MATCH(AO115,データベース!O$2:O$3,0)))</f>
        <v>0</v>
      </c>
      <c r="AR115">
        <f>IF(AQ115="",0,INDEX(データベース!R$2:R$27,MATCH(AQ115,データベース!Q$2:Q$27,0)))</f>
        <v>0</v>
      </c>
      <c r="AT115">
        <f>IF(AS115="",0,INDEX(データベース!T$2:T$4,MATCH(AS115,データベース!S$2:S$4,0)))</f>
        <v>0</v>
      </c>
      <c r="AV115">
        <f>IF(AU115="",0,INDEX(データベース!V$2:V$37,MATCH(AU115,データベース!U$2:U$37,0)))</f>
        <v>0</v>
      </c>
      <c r="AX115">
        <v>0</v>
      </c>
      <c r="AZ115">
        <v>0</v>
      </c>
      <c r="BB115">
        <v>0</v>
      </c>
    </row>
    <row r="116" spans="2:54">
      <c r="B116">
        <v>0</v>
      </c>
      <c r="G116">
        <f>IF(F116="",0,INDEX(データベース!D$2:D$4,MATCH(F116,データベース!C$2:C$4,0)))</f>
        <v>0</v>
      </c>
      <c r="J116" s="19" t="str">
        <f t="shared" si="6"/>
        <v>服装・</v>
      </c>
      <c r="L116" s="19" t="str">
        <f t="shared" si="7"/>
        <v>感情・</v>
      </c>
      <c r="N116" s="19" cm="1">
        <f t="array" aca="1" ref="N116" ca="1">IF(H116="",0,INDEX(データベース!$F$2:$F$5,MATCH(H116,データベース!$E$2:$E$5,0)))*1000
+IF(I116="",0,INDEX(データベース!$D$41:$D$44,MATCH(I116,OFFSET(データベース!$A$41,0,IF(H116="",0,INDEX(データベース!$F$2:$F$5,MATCH(H116,データベース!$E$2:$E$5,0)))-1,4,1),0),))*100
+IF(K116="",0,INDEX(データベース!$D$48:$D$52,MATCH(K116,OFFSET(データベース!$A$48,0,IF(H116="",0,INDEX(データベース!$F$2:$F$5,MATCH(H116,データベース!$E$2:$E$5,0)))-1,5,1),0),))*10
+IF(M116="",0,INDEX(データベース!$D$56:$D$62,MATCH(M116,OFFSET(データベース!$A$56,0,IF(H116="",0,INDEX(データベース!$F$2:$F$5,MATCH(H116,データベース!$E$2:$E$5,0)))-1,7,1),0),))</f>
        <v>0</v>
      </c>
      <c r="P116">
        <f>IF(O116="",0,INDEX(データベース!$H$2:$H$4,MATCH(O116,データベース!$G$2:$G$4,0)))</f>
        <v>0</v>
      </c>
      <c r="S116" s="18" t="str">
        <f t="shared" si="8"/>
        <v>服装・</v>
      </c>
      <c r="U116" s="18" t="str">
        <f t="shared" si="9"/>
        <v>感情・</v>
      </c>
      <c r="W116" s="18" cm="1">
        <f t="array" aca="1" ref="W116" ca="1">IF(Q116="",0,INDEX(データベース!$F$2:$F$5,MATCH(Q116,データベース!$E$2:$E$5,0)))*1000
+IF(R116="",0,INDEX(データベース!$D$41:$D$44,MATCH(R116,OFFSET(データベース!$A$41,0,IF(Q116="",0,INDEX(データベース!$F$2:$F$5,MATCH(Q116,データベース!$E$2:$E$5,0)))-1,4,1),0),))*100
+IF(T116="",0,INDEX(データベース!$D$48:$D$52,MATCH(T116,OFFSET(データベース!$A$48,0,IF(Q116="",0,INDEX(データベース!$F$2:$F$5,MATCH(Q116,データベース!$E$2:$E$5,0)))-1,5,1),0),))*10
+IF(V116="",0,INDEX(データベース!$D$56:$D$62,MATCH(V116,OFFSET(データベース!$A$56,0,IF(Q116="",0,INDEX(データベース!$F$2:$F$5,MATCH(Q116,データベース!$E$2:$E$5,0)))-1,7,1),0),))</f>
        <v>0</v>
      </c>
      <c r="Y116">
        <f>IF(X116="",0,INDEX(データベース!$H$2:$H$4,MATCH(X116,データベース!$G$2:$G$4,0)))</f>
        <v>0</v>
      </c>
      <c r="AB116" s="9" t="str">
        <f t="shared" si="10"/>
        <v>服装・</v>
      </c>
      <c r="AD116" s="9" t="str">
        <f t="shared" si="11"/>
        <v>感情・</v>
      </c>
      <c r="AF116" s="9" cm="1">
        <f t="array" aca="1" ref="AF116" ca="1">IF(Z116="",0,INDEX(データベース!$F$2:$F$5,MATCH(Z116,データベース!$E$2:$E$5,0)))*1000
+IF(AA116="",0,INDEX(データベース!$D$41:$D$44,MATCH(AA116,OFFSET(データベース!$A$41,0,IF(Z116="",0,INDEX(データベース!$F$2:$F$5,MATCH(Z116,データベース!$E$2:$E$5,0)))-1,4,1),0),))*100
+IF(AC116="",0,INDEX(データベース!$D$48:$D$52,MATCH(AC116,OFFSET(データベース!$A$48,0,IF(Z116="",0,INDEX(データベース!$F$2:$F$5,MATCH(Z116,データベース!$E$2:$E$5,0)))-1,5,1),0),))*10
+IF(AE116="",0,INDEX(データベース!$D$56:$D$62,MATCH(AE116,OFFSET(データベース!$A$56,0,IF(Z116="",0,INDEX(データベース!$F$2:$F$5,MATCH(Z116,データベース!$E$2:$E$5,0)))-1,7,1),0),))</f>
        <v>0</v>
      </c>
      <c r="AH116">
        <f>IF(AG116="",0,INDEX(データベース!$H$2:$H$4,MATCH(AG116,データベース!$G$2:$G$4,0)))</f>
        <v>0</v>
      </c>
      <c r="AJ116">
        <f>IF(AI116="",0,INDEX(データベース!J$2:J$2,MATCH(AI116,データベース!I$2:I$2,0)))</f>
        <v>0</v>
      </c>
      <c r="AL116">
        <f>IF(AK116="",0,INDEX(データベース!L$2:L$3,MATCH(AK116,データベース!K$2:K$3,0)))</f>
        <v>0</v>
      </c>
      <c r="AN116">
        <f>IF(AM116="",0,INDEX(データベース!N$2:N$5,MATCH(AM116,データベース!M$2:M$5,0)))</f>
        <v>0</v>
      </c>
      <c r="AO116" s="4"/>
      <c r="AP116">
        <f>IF(AO116="",0,INDEX(データベース!P$2:P$3,MATCH(AO116,データベース!O$2:O$3,0)))</f>
        <v>0</v>
      </c>
      <c r="AR116">
        <f>IF(AQ116="",0,INDEX(データベース!R$2:R$27,MATCH(AQ116,データベース!Q$2:Q$27,0)))</f>
        <v>0</v>
      </c>
      <c r="AT116">
        <f>IF(AS116="",0,INDEX(データベース!T$2:T$4,MATCH(AS116,データベース!S$2:S$4,0)))</f>
        <v>0</v>
      </c>
      <c r="AV116">
        <f>IF(AU116="",0,INDEX(データベース!V$2:V$37,MATCH(AU116,データベース!U$2:U$37,0)))</f>
        <v>0</v>
      </c>
      <c r="AX116">
        <v>0</v>
      </c>
      <c r="AZ116">
        <v>0</v>
      </c>
      <c r="BB116">
        <v>0</v>
      </c>
    </row>
    <row r="117" spans="2:54">
      <c r="B117">
        <v>0</v>
      </c>
      <c r="G117">
        <f>IF(F117="",0,INDEX(データベース!D$2:D$4,MATCH(F117,データベース!C$2:C$4,0)))</f>
        <v>0</v>
      </c>
      <c r="J117" s="19" t="str">
        <f t="shared" si="6"/>
        <v>服装・</v>
      </c>
      <c r="L117" s="19" t="str">
        <f t="shared" si="7"/>
        <v>感情・</v>
      </c>
      <c r="N117" s="19" cm="1">
        <f t="array" aca="1" ref="N117" ca="1">IF(H117="",0,INDEX(データベース!$F$2:$F$5,MATCH(H117,データベース!$E$2:$E$5,0)))*1000
+IF(I117="",0,INDEX(データベース!$D$41:$D$44,MATCH(I117,OFFSET(データベース!$A$41,0,IF(H117="",0,INDEX(データベース!$F$2:$F$5,MATCH(H117,データベース!$E$2:$E$5,0)))-1,4,1),0),))*100
+IF(K117="",0,INDEX(データベース!$D$48:$D$52,MATCH(K117,OFFSET(データベース!$A$48,0,IF(H117="",0,INDEX(データベース!$F$2:$F$5,MATCH(H117,データベース!$E$2:$E$5,0)))-1,5,1),0),))*10
+IF(M117="",0,INDEX(データベース!$D$56:$D$62,MATCH(M117,OFFSET(データベース!$A$56,0,IF(H117="",0,INDEX(データベース!$F$2:$F$5,MATCH(H117,データベース!$E$2:$E$5,0)))-1,7,1),0),))</f>
        <v>0</v>
      </c>
      <c r="P117">
        <f>IF(O117="",0,INDEX(データベース!$H$2:$H$4,MATCH(O117,データベース!$G$2:$G$4,0)))</f>
        <v>0</v>
      </c>
      <c r="S117" s="18" t="str">
        <f t="shared" si="8"/>
        <v>服装・</v>
      </c>
      <c r="U117" s="18" t="str">
        <f t="shared" si="9"/>
        <v>感情・</v>
      </c>
      <c r="W117" s="18" cm="1">
        <f t="array" aca="1" ref="W117" ca="1">IF(Q117="",0,INDEX(データベース!$F$2:$F$5,MATCH(Q117,データベース!$E$2:$E$5,0)))*1000
+IF(R117="",0,INDEX(データベース!$D$41:$D$44,MATCH(R117,OFFSET(データベース!$A$41,0,IF(Q117="",0,INDEX(データベース!$F$2:$F$5,MATCH(Q117,データベース!$E$2:$E$5,0)))-1,4,1),0),))*100
+IF(T117="",0,INDEX(データベース!$D$48:$D$52,MATCH(T117,OFFSET(データベース!$A$48,0,IF(Q117="",0,INDEX(データベース!$F$2:$F$5,MATCH(Q117,データベース!$E$2:$E$5,0)))-1,5,1),0),))*10
+IF(V117="",0,INDEX(データベース!$D$56:$D$62,MATCH(V117,OFFSET(データベース!$A$56,0,IF(Q117="",0,INDEX(データベース!$F$2:$F$5,MATCH(Q117,データベース!$E$2:$E$5,0)))-1,7,1),0),))</f>
        <v>0</v>
      </c>
      <c r="Y117">
        <f>IF(X117="",0,INDEX(データベース!$H$2:$H$4,MATCH(X117,データベース!$G$2:$G$4,0)))</f>
        <v>0</v>
      </c>
      <c r="AB117" s="9" t="str">
        <f t="shared" si="10"/>
        <v>服装・</v>
      </c>
      <c r="AD117" s="9" t="str">
        <f t="shared" si="11"/>
        <v>感情・</v>
      </c>
      <c r="AF117" s="9" cm="1">
        <f t="array" aca="1" ref="AF117" ca="1">IF(Z117="",0,INDEX(データベース!$F$2:$F$5,MATCH(Z117,データベース!$E$2:$E$5,0)))*1000
+IF(AA117="",0,INDEX(データベース!$D$41:$D$44,MATCH(AA117,OFFSET(データベース!$A$41,0,IF(Z117="",0,INDEX(データベース!$F$2:$F$5,MATCH(Z117,データベース!$E$2:$E$5,0)))-1,4,1),0),))*100
+IF(AC117="",0,INDEX(データベース!$D$48:$D$52,MATCH(AC117,OFFSET(データベース!$A$48,0,IF(Z117="",0,INDEX(データベース!$F$2:$F$5,MATCH(Z117,データベース!$E$2:$E$5,0)))-1,5,1),0),))*10
+IF(AE117="",0,INDEX(データベース!$D$56:$D$62,MATCH(AE117,OFFSET(データベース!$A$56,0,IF(Z117="",0,INDEX(データベース!$F$2:$F$5,MATCH(Z117,データベース!$E$2:$E$5,0)))-1,7,1),0),))</f>
        <v>0</v>
      </c>
      <c r="AH117">
        <f>IF(AG117="",0,INDEX(データベース!$H$2:$H$4,MATCH(AG117,データベース!$G$2:$G$4,0)))</f>
        <v>0</v>
      </c>
      <c r="AJ117">
        <f>IF(AI117="",0,INDEX(データベース!J$2:J$2,MATCH(AI117,データベース!I$2:I$2,0)))</f>
        <v>0</v>
      </c>
      <c r="AL117">
        <f>IF(AK117="",0,INDEX(データベース!L$2:L$3,MATCH(AK117,データベース!K$2:K$3,0)))</f>
        <v>0</v>
      </c>
      <c r="AN117">
        <f>IF(AM117="",0,INDEX(データベース!N$2:N$5,MATCH(AM117,データベース!M$2:M$5,0)))</f>
        <v>0</v>
      </c>
      <c r="AO117" s="4"/>
      <c r="AP117">
        <f>IF(AO117="",0,INDEX(データベース!P$2:P$3,MATCH(AO117,データベース!O$2:O$3,0)))</f>
        <v>0</v>
      </c>
      <c r="AR117">
        <f>IF(AQ117="",0,INDEX(データベース!R$2:R$27,MATCH(AQ117,データベース!Q$2:Q$27,0)))</f>
        <v>0</v>
      </c>
      <c r="AT117">
        <f>IF(AS117="",0,INDEX(データベース!T$2:T$4,MATCH(AS117,データベース!S$2:S$4,0)))</f>
        <v>0</v>
      </c>
      <c r="AV117">
        <f>IF(AU117="",0,INDEX(データベース!V$2:V$37,MATCH(AU117,データベース!U$2:U$37,0)))</f>
        <v>0</v>
      </c>
      <c r="AX117">
        <v>0</v>
      </c>
      <c r="AZ117">
        <v>0</v>
      </c>
      <c r="BB117">
        <v>0</v>
      </c>
    </row>
    <row r="118" spans="2:54">
      <c r="B118">
        <v>0</v>
      </c>
      <c r="G118">
        <f>IF(F118="",0,INDEX(データベース!D$2:D$4,MATCH(F118,データベース!C$2:C$4,0)))</f>
        <v>0</v>
      </c>
      <c r="J118" s="19" t="str">
        <f t="shared" si="6"/>
        <v>服装・</v>
      </c>
      <c r="L118" s="19" t="str">
        <f t="shared" si="7"/>
        <v>感情・</v>
      </c>
      <c r="N118" s="19" cm="1">
        <f t="array" aca="1" ref="N118" ca="1">IF(H118="",0,INDEX(データベース!$F$2:$F$5,MATCH(H118,データベース!$E$2:$E$5,0)))*1000
+IF(I118="",0,INDEX(データベース!$D$41:$D$44,MATCH(I118,OFFSET(データベース!$A$41,0,IF(H118="",0,INDEX(データベース!$F$2:$F$5,MATCH(H118,データベース!$E$2:$E$5,0)))-1,4,1),0),))*100
+IF(K118="",0,INDEX(データベース!$D$48:$D$52,MATCH(K118,OFFSET(データベース!$A$48,0,IF(H118="",0,INDEX(データベース!$F$2:$F$5,MATCH(H118,データベース!$E$2:$E$5,0)))-1,5,1),0),))*10
+IF(M118="",0,INDEX(データベース!$D$56:$D$62,MATCH(M118,OFFSET(データベース!$A$56,0,IF(H118="",0,INDEX(データベース!$F$2:$F$5,MATCH(H118,データベース!$E$2:$E$5,0)))-1,7,1),0),))</f>
        <v>0</v>
      </c>
      <c r="P118">
        <f>IF(O118="",0,INDEX(データベース!$H$2:$H$4,MATCH(O118,データベース!$G$2:$G$4,0)))</f>
        <v>0</v>
      </c>
      <c r="S118" s="18" t="str">
        <f t="shared" si="8"/>
        <v>服装・</v>
      </c>
      <c r="U118" s="18" t="str">
        <f t="shared" si="9"/>
        <v>感情・</v>
      </c>
      <c r="W118" s="18" cm="1">
        <f t="array" aca="1" ref="W118" ca="1">IF(Q118="",0,INDEX(データベース!$F$2:$F$5,MATCH(Q118,データベース!$E$2:$E$5,0)))*1000
+IF(R118="",0,INDEX(データベース!$D$41:$D$44,MATCH(R118,OFFSET(データベース!$A$41,0,IF(Q118="",0,INDEX(データベース!$F$2:$F$5,MATCH(Q118,データベース!$E$2:$E$5,0)))-1,4,1),0),))*100
+IF(T118="",0,INDEX(データベース!$D$48:$D$52,MATCH(T118,OFFSET(データベース!$A$48,0,IF(Q118="",0,INDEX(データベース!$F$2:$F$5,MATCH(Q118,データベース!$E$2:$E$5,0)))-1,5,1),0),))*10
+IF(V118="",0,INDEX(データベース!$D$56:$D$62,MATCH(V118,OFFSET(データベース!$A$56,0,IF(Q118="",0,INDEX(データベース!$F$2:$F$5,MATCH(Q118,データベース!$E$2:$E$5,0)))-1,7,1),0),))</f>
        <v>0</v>
      </c>
      <c r="Y118">
        <f>IF(X118="",0,INDEX(データベース!$H$2:$H$4,MATCH(X118,データベース!$G$2:$G$4,0)))</f>
        <v>0</v>
      </c>
      <c r="AB118" s="9" t="str">
        <f t="shared" si="10"/>
        <v>服装・</v>
      </c>
      <c r="AD118" s="9" t="str">
        <f t="shared" si="11"/>
        <v>感情・</v>
      </c>
      <c r="AF118" s="9" cm="1">
        <f t="array" aca="1" ref="AF118" ca="1">IF(Z118="",0,INDEX(データベース!$F$2:$F$5,MATCH(Z118,データベース!$E$2:$E$5,0)))*1000
+IF(AA118="",0,INDEX(データベース!$D$41:$D$44,MATCH(AA118,OFFSET(データベース!$A$41,0,IF(Z118="",0,INDEX(データベース!$F$2:$F$5,MATCH(Z118,データベース!$E$2:$E$5,0)))-1,4,1),0),))*100
+IF(AC118="",0,INDEX(データベース!$D$48:$D$52,MATCH(AC118,OFFSET(データベース!$A$48,0,IF(Z118="",0,INDEX(データベース!$F$2:$F$5,MATCH(Z118,データベース!$E$2:$E$5,0)))-1,5,1),0),))*10
+IF(AE118="",0,INDEX(データベース!$D$56:$D$62,MATCH(AE118,OFFSET(データベース!$A$56,0,IF(Z118="",0,INDEX(データベース!$F$2:$F$5,MATCH(Z118,データベース!$E$2:$E$5,0)))-1,7,1),0),))</f>
        <v>0</v>
      </c>
      <c r="AH118">
        <f>IF(AG118="",0,INDEX(データベース!$H$2:$H$4,MATCH(AG118,データベース!$G$2:$G$4,0)))</f>
        <v>0</v>
      </c>
      <c r="AJ118">
        <f>IF(AI118="",0,INDEX(データベース!J$2:J$2,MATCH(AI118,データベース!I$2:I$2,0)))</f>
        <v>0</v>
      </c>
      <c r="AL118">
        <f>IF(AK118="",0,INDEX(データベース!L$2:L$3,MATCH(AK118,データベース!K$2:K$3,0)))</f>
        <v>0</v>
      </c>
      <c r="AN118">
        <f>IF(AM118="",0,INDEX(データベース!N$2:N$5,MATCH(AM118,データベース!M$2:M$5,0)))</f>
        <v>0</v>
      </c>
      <c r="AO118" s="4"/>
      <c r="AP118">
        <f>IF(AO118="",0,INDEX(データベース!P$2:P$3,MATCH(AO118,データベース!O$2:O$3,0)))</f>
        <v>0</v>
      </c>
      <c r="AR118">
        <f>IF(AQ118="",0,INDEX(データベース!R$2:R$27,MATCH(AQ118,データベース!Q$2:Q$27,0)))</f>
        <v>0</v>
      </c>
      <c r="AT118">
        <f>IF(AS118="",0,INDEX(データベース!T$2:T$4,MATCH(AS118,データベース!S$2:S$4,0)))</f>
        <v>0</v>
      </c>
      <c r="AV118">
        <f>IF(AU118="",0,INDEX(データベース!V$2:V$37,MATCH(AU118,データベース!U$2:U$37,0)))</f>
        <v>0</v>
      </c>
      <c r="AX118">
        <v>0</v>
      </c>
      <c r="AZ118">
        <v>0</v>
      </c>
      <c r="BB118">
        <v>0</v>
      </c>
    </row>
    <row r="119" spans="2:54">
      <c r="B119">
        <v>0</v>
      </c>
      <c r="G119">
        <f>IF(F119="",0,INDEX(データベース!D$2:D$4,MATCH(F119,データベース!C$2:C$4,0)))</f>
        <v>0</v>
      </c>
      <c r="J119" s="19" t="str">
        <f t="shared" si="6"/>
        <v>服装・</v>
      </c>
      <c r="L119" s="19" t="str">
        <f t="shared" si="7"/>
        <v>感情・</v>
      </c>
      <c r="N119" s="19" cm="1">
        <f t="array" aca="1" ref="N119" ca="1">IF(H119="",0,INDEX(データベース!$F$2:$F$5,MATCH(H119,データベース!$E$2:$E$5,0)))*1000
+IF(I119="",0,INDEX(データベース!$D$41:$D$44,MATCH(I119,OFFSET(データベース!$A$41,0,IF(H119="",0,INDEX(データベース!$F$2:$F$5,MATCH(H119,データベース!$E$2:$E$5,0)))-1,4,1),0),))*100
+IF(K119="",0,INDEX(データベース!$D$48:$D$52,MATCH(K119,OFFSET(データベース!$A$48,0,IF(H119="",0,INDEX(データベース!$F$2:$F$5,MATCH(H119,データベース!$E$2:$E$5,0)))-1,5,1),0),))*10
+IF(M119="",0,INDEX(データベース!$D$56:$D$62,MATCH(M119,OFFSET(データベース!$A$56,0,IF(H119="",0,INDEX(データベース!$F$2:$F$5,MATCH(H119,データベース!$E$2:$E$5,0)))-1,7,1),0),))</f>
        <v>0</v>
      </c>
      <c r="P119">
        <f>IF(O119="",0,INDEX(データベース!$H$2:$H$4,MATCH(O119,データベース!$G$2:$G$4,0)))</f>
        <v>0</v>
      </c>
      <c r="S119" s="18" t="str">
        <f t="shared" si="8"/>
        <v>服装・</v>
      </c>
      <c r="U119" s="18" t="str">
        <f t="shared" si="9"/>
        <v>感情・</v>
      </c>
      <c r="W119" s="18" cm="1">
        <f t="array" aca="1" ref="W119" ca="1">IF(Q119="",0,INDEX(データベース!$F$2:$F$5,MATCH(Q119,データベース!$E$2:$E$5,0)))*1000
+IF(R119="",0,INDEX(データベース!$D$41:$D$44,MATCH(R119,OFFSET(データベース!$A$41,0,IF(Q119="",0,INDEX(データベース!$F$2:$F$5,MATCH(Q119,データベース!$E$2:$E$5,0)))-1,4,1),0),))*100
+IF(T119="",0,INDEX(データベース!$D$48:$D$52,MATCH(T119,OFFSET(データベース!$A$48,0,IF(Q119="",0,INDEX(データベース!$F$2:$F$5,MATCH(Q119,データベース!$E$2:$E$5,0)))-1,5,1),0),))*10
+IF(V119="",0,INDEX(データベース!$D$56:$D$62,MATCH(V119,OFFSET(データベース!$A$56,0,IF(Q119="",0,INDEX(データベース!$F$2:$F$5,MATCH(Q119,データベース!$E$2:$E$5,0)))-1,7,1),0),))</f>
        <v>0</v>
      </c>
      <c r="Y119">
        <f>IF(X119="",0,INDEX(データベース!$H$2:$H$4,MATCH(X119,データベース!$G$2:$G$4,0)))</f>
        <v>0</v>
      </c>
      <c r="AB119" s="9" t="str">
        <f t="shared" si="10"/>
        <v>服装・</v>
      </c>
      <c r="AD119" s="9" t="str">
        <f t="shared" si="11"/>
        <v>感情・</v>
      </c>
      <c r="AF119" s="9" cm="1">
        <f t="array" aca="1" ref="AF119" ca="1">IF(Z119="",0,INDEX(データベース!$F$2:$F$5,MATCH(Z119,データベース!$E$2:$E$5,0)))*1000
+IF(AA119="",0,INDEX(データベース!$D$41:$D$44,MATCH(AA119,OFFSET(データベース!$A$41,0,IF(Z119="",0,INDEX(データベース!$F$2:$F$5,MATCH(Z119,データベース!$E$2:$E$5,0)))-1,4,1),0),))*100
+IF(AC119="",0,INDEX(データベース!$D$48:$D$52,MATCH(AC119,OFFSET(データベース!$A$48,0,IF(Z119="",0,INDEX(データベース!$F$2:$F$5,MATCH(Z119,データベース!$E$2:$E$5,0)))-1,5,1),0),))*10
+IF(AE119="",0,INDEX(データベース!$D$56:$D$62,MATCH(AE119,OFFSET(データベース!$A$56,0,IF(Z119="",0,INDEX(データベース!$F$2:$F$5,MATCH(Z119,データベース!$E$2:$E$5,0)))-1,7,1),0),))</f>
        <v>0</v>
      </c>
      <c r="AH119">
        <f>IF(AG119="",0,INDEX(データベース!$H$2:$H$4,MATCH(AG119,データベース!$G$2:$G$4,0)))</f>
        <v>0</v>
      </c>
      <c r="AJ119">
        <f>IF(AI119="",0,INDEX(データベース!J$2:J$2,MATCH(AI119,データベース!I$2:I$2,0)))</f>
        <v>0</v>
      </c>
      <c r="AL119">
        <f>IF(AK119="",0,INDEX(データベース!L$2:L$3,MATCH(AK119,データベース!K$2:K$3,0)))</f>
        <v>0</v>
      </c>
      <c r="AN119">
        <f>IF(AM119="",0,INDEX(データベース!N$2:N$5,MATCH(AM119,データベース!M$2:M$5,0)))</f>
        <v>0</v>
      </c>
      <c r="AO119" s="4"/>
      <c r="AP119">
        <f>IF(AO119="",0,INDEX(データベース!P$2:P$3,MATCH(AO119,データベース!O$2:O$3,0)))</f>
        <v>0</v>
      </c>
      <c r="AR119">
        <f>IF(AQ119="",0,INDEX(データベース!R$2:R$27,MATCH(AQ119,データベース!Q$2:Q$27,0)))</f>
        <v>0</v>
      </c>
      <c r="AT119">
        <f>IF(AS119="",0,INDEX(データベース!T$2:T$4,MATCH(AS119,データベース!S$2:S$4,0)))</f>
        <v>0</v>
      </c>
      <c r="AV119">
        <f>IF(AU119="",0,INDEX(データベース!V$2:V$37,MATCH(AU119,データベース!U$2:U$37,0)))</f>
        <v>0</v>
      </c>
      <c r="AX119">
        <v>0</v>
      </c>
      <c r="AZ119">
        <v>0</v>
      </c>
      <c r="BB119">
        <v>0</v>
      </c>
    </row>
    <row r="120" spans="2:54">
      <c r="B120">
        <v>0</v>
      </c>
      <c r="G120">
        <f>IF(F120="",0,INDEX(データベース!D$2:D$4,MATCH(F120,データベース!C$2:C$4,0)))</f>
        <v>0</v>
      </c>
      <c r="J120" s="19" t="str">
        <f t="shared" si="6"/>
        <v>服装・</v>
      </c>
      <c r="L120" s="19" t="str">
        <f t="shared" si="7"/>
        <v>感情・</v>
      </c>
      <c r="N120" s="19" cm="1">
        <f t="array" aca="1" ref="N120" ca="1">IF(H120="",0,INDEX(データベース!$F$2:$F$5,MATCH(H120,データベース!$E$2:$E$5,0)))*1000
+IF(I120="",0,INDEX(データベース!$D$41:$D$44,MATCH(I120,OFFSET(データベース!$A$41,0,IF(H120="",0,INDEX(データベース!$F$2:$F$5,MATCH(H120,データベース!$E$2:$E$5,0)))-1,4,1),0),))*100
+IF(K120="",0,INDEX(データベース!$D$48:$D$52,MATCH(K120,OFFSET(データベース!$A$48,0,IF(H120="",0,INDEX(データベース!$F$2:$F$5,MATCH(H120,データベース!$E$2:$E$5,0)))-1,5,1),0),))*10
+IF(M120="",0,INDEX(データベース!$D$56:$D$62,MATCH(M120,OFFSET(データベース!$A$56,0,IF(H120="",0,INDEX(データベース!$F$2:$F$5,MATCH(H120,データベース!$E$2:$E$5,0)))-1,7,1),0),))</f>
        <v>0</v>
      </c>
      <c r="P120">
        <f>IF(O120="",0,INDEX(データベース!$H$2:$H$4,MATCH(O120,データベース!$G$2:$G$4,0)))</f>
        <v>0</v>
      </c>
      <c r="S120" s="18" t="str">
        <f t="shared" si="8"/>
        <v>服装・</v>
      </c>
      <c r="U120" s="18" t="str">
        <f t="shared" si="9"/>
        <v>感情・</v>
      </c>
      <c r="W120" s="18" cm="1">
        <f t="array" aca="1" ref="W120" ca="1">IF(Q120="",0,INDEX(データベース!$F$2:$F$5,MATCH(Q120,データベース!$E$2:$E$5,0)))*1000
+IF(R120="",0,INDEX(データベース!$D$41:$D$44,MATCH(R120,OFFSET(データベース!$A$41,0,IF(Q120="",0,INDEX(データベース!$F$2:$F$5,MATCH(Q120,データベース!$E$2:$E$5,0)))-1,4,1),0),))*100
+IF(T120="",0,INDEX(データベース!$D$48:$D$52,MATCH(T120,OFFSET(データベース!$A$48,0,IF(Q120="",0,INDEX(データベース!$F$2:$F$5,MATCH(Q120,データベース!$E$2:$E$5,0)))-1,5,1),0),))*10
+IF(V120="",0,INDEX(データベース!$D$56:$D$62,MATCH(V120,OFFSET(データベース!$A$56,0,IF(Q120="",0,INDEX(データベース!$F$2:$F$5,MATCH(Q120,データベース!$E$2:$E$5,0)))-1,7,1),0),))</f>
        <v>0</v>
      </c>
      <c r="Y120">
        <f>IF(X120="",0,INDEX(データベース!$H$2:$H$4,MATCH(X120,データベース!$G$2:$G$4,0)))</f>
        <v>0</v>
      </c>
      <c r="AB120" s="9" t="str">
        <f t="shared" si="10"/>
        <v>服装・</v>
      </c>
      <c r="AD120" s="9" t="str">
        <f t="shared" si="11"/>
        <v>感情・</v>
      </c>
      <c r="AF120" s="9" cm="1">
        <f t="array" aca="1" ref="AF120" ca="1">IF(Z120="",0,INDEX(データベース!$F$2:$F$5,MATCH(Z120,データベース!$E$2:$E$5,0)))*1000
+IF(AA120="",0,INDEX(データベース!$D$41:$D$44,MATCH(AA120,OFFSET(データベース!$A$41,0,IF(Z120="",0,INDEX(データベース!$F$2:$F$5,MATCH(Z120,データベース!$E$2:$E$5,0)))-1,4,1),0),))*100
+IF(AC120="",0,INDEX(データベース!$D$48:$D$52,MATCH(AC120,OFFSET(データベース!$A$48,0,IF(Z120="",0,INDEX(データベース!$F$2:$F$5,MATCH(Z120,データベース!$E$2:$E$5,0)))-1,5,1),0),))*10
+IF(AE120="",0,INDEX(データベース!$D$56:$D$62,MATCH(AE120,OFFSET(データベース!$A$56,0,IF(Z120="",0,INDEX(データベース!$F$2:$F$5,MATCH(Z120,データベース!$E$2:$E$5,0)))-1,7,1),0),))</f>
        <v>0</v>
      </c>
      <c r="AH120">
        <f>IF(AG120="",0,INDEX(データベース!$H$2:$H$4,MATCH(AG120,データベース!$G$2:$G$4,0)))</f>
        <v>0</v>
      </c>
      <c r="AJ120">
        <f>IF(AI120="",0,INDEX(データベース!J$2:J$2,MATCH(AI120,データベース!I$2:I$2,0)))</f>
        <v>0</v>
      </c>
      <c r="AL120">
        <f>IF(AK120="",0,INDEX(データベース!L$2:L$3,MATCH(AK120,データベース!K$2:K$3,0)))</f>
        <v>0</v>
      </c>
      <c r="AN120">
        <f>IF(AM120="",0,INDEX(データベース!N$2:N$5,MATCH(AM120,データベース!M$2:M$5,0)))</f>
        <v>0</v>
      </c>
      <c r="AO120" s="4"/>
      <c r="AP120">
        <f>IF(AO120="",0,INDEX(データベース!P$2:P$3,MATCH(AO120,データベース!O$2:O$3,0)))</f>
        <v>0</v>
      </c>
      <c r="AR120">
        <f>IF(AQ120="",0,INDEX(データベース!R$2:R$27,MATCH(AQ120,データベース!Q$2:Q$27,0)))</f>
        <v>0</v>
      </c>
      <c r="AT120">
        <f>IF(AS120="",0,INDEX(データベース!T$2:T$4,MATCH(AS120,データベース!S$2:S$4,0)))</f>
        <v>0</v>
      </c>
      <c r="AV120">
        <f>IF(AU120="",0,INDEX(データベース!V$2:V$37,MATCH(AU120,データベース!U$2:U$37,0)))</f>
        <v>0</v>
      </c>
      <c r="AX120">
        <v>0</v>
      </c>
      <c r="AZ120">
        <v>0</v>
      </c>
      <c r="BB120">
        <v>0</v>
      </c>
    </row>
    <row r="121" spans="2:54">
      <c r="B121">
        <v>0</v>
      </c>
      <c r="G121">
        <f>IF(F121="",0,INDEX(データベース!D$2:D$4,MATCH(F121,データベース!C$2:C$4,0)))</f>
        <v>0</v>
      </c>
      <c r="J121" s="19" t="str">
        <f t="shared" si="6"/>
        <v>服装・</v>
      </c>
      <c r="L121" s="19" t="str">
        <f t="shared" si="7"/>
        <v>感情・</v>
      </c>
      <c r="N121" s="19" cm="1">
        <f t="array" aca="1" ref="N121" ca="1">IF(H121="",0,INDEX(データベース!$F$2:$F$5,MATCH(H121,データベース!$E$2:$E$5,0)))*1000
+IF(I121="",0,INDEX(データベース!$D$41:$D$44,MATCH(I121,OFFSET(データベース!$A$41,0,IF(H121="",0,INDEX(データベース!$F$2:$F$5,MATCH(H121,データベース!$E$2:$E$5,0)))-1,4,1),0),))*100
+IF(K121="",0,INDEX(データベース!$D$48:$D$52,MATCH(K121,OFFSET(データベース!$A$48,0,IF(H121="",0,INDEX(データベース!$F$2:$F$5,MATCH(H121,データベース!$E$2:$E$5,0)))-1,5,1),0),))*10
+IF(M121="",0,INDEX(データベース!$D$56:$D$62,MATCH(M121,OFFSET(データベース!$A$56,0,IF(H121="",0,INDEX(データベース!$F$2:$F$5,MATCH(H121,データベース!$E$2:$E$5,0)))-1,7,1),0),))</f>
        <v>0</v>
      </c>
      <c r="P121">
        <f>IF(O121="",0,INDEX(データベース!$H$2:$H$4,MATCH(O121,データベース!$G$2:$G$4,0)))</f>
        <v>0</v>
      </c>
      <c r="S121" s="18" t="str">
        <f t="shared" si="8"/>
        <v>服装・</v>
      </c>
      <c r="U121" s="18" t="str">
        <f t="shared" si="9"/>
        <v>感情・</v>
      </c>
      <c r="W121" s="18" cm="1">
        <f t="array" aca="1" ref="W121" ca="1">IF(Q121="",0,INDEX(データベース!$F$2:$F$5,MATCH(Q121,データベース!$E$2:$E$5,0)))*1000
+IF(R121="",0,INDEX(データベース!$D$41:$D$44,MATCH(R121,OFFSET(データベース!$A$41,0,IF(Q121="",0,INDEX(データベース!$F$2:$F$5,MATCH(Q121,データベース!$E$2:$E$5,0)))-1,4,1),0),))*100
+IF(T121="",0,INDEX(データベース!$D$48:$D$52,MATCH(T121,OFFSET(データベース!$A$48,0,IF(Q121="",0,INDEX(データベース!$F$2:$F$5,MATCH(Q121,データベース!$E$2:$E$5,0)))-1,5,1),0),))*10
+IF(V121="",0,INDEX(データベース!$D$56:$D$62,MATCH(V121,OFFSET(データベース!$A$56,0,IF(Q121="",0,INDEX(データベース!$F$2:$F$5,MATCH(Q121,データベース!$E$2:$E$5,0)))-1,7,1),0),))</f>
        <v>0</v>
      </c>
      <c r="Y121">
        <f>IF(X121="",0,INDEX(データベース!$H$2:$H$4,MATCH(X121,データベース!$G$2:$G$4,0)))</f>
        <v>0</v>
      </c>
      <c r="AB121" s="9" t="str">
        <f t="shared" si="10"/>
        <v>服装・</v>
      </c>
      <c r="AD121" s="9" t="str">
        <f t="shared" si="11"/>
        <v>感情・</v>
      </c>
      <c r="AF121" s="9" cm="1">
        <f t="array" aca="1" ref="AF121" ca="1">IF(Z121="",0,INDEX(データベース!$F$2:$F$5,MATCH(Z121,データベース!$E$2:$E$5,0)))*1000
+IF(AA121="",0,INDEX(データベース!$D$41:$D$44,MATCH(AA121,OFFSET(データベース!$A$41,0,IF(Z121="",0,INDEX(データベース!$F$2:$F$5,MATCH(Z121,データベース!$E$2:$E$5,0)))-1,4,1),0),))*100
+IF(AC121="",0,INDEX(データベース!$D$48:$D$52,MATCH(AC121,OFFSET(データベース!$A$48,0,IF(Z121="",0,INDEX(データベース!$F$2:$F$5,MATCH(Z121,データベース!$E$2:$E$5,0)))-1,5,1),0),))*10
+IF(AE121="",0,INDEX(データベース!$D$56:$D$62,MATCH(AE121,OFFSET(データベース!$A$56,0,IF(Z121="",0,INDEX(データベース!$F$2:$F$5,MATCH(Z121,データベース!$E$2:$E$5,0)))-1,7,1),0),))</f>
        <v>0</v>
      </c>
      <c r="AH121">
        <f>IF(AG121="",0,INDEX(データベース!$H$2:$H$4,MATCH(AG121,データベース!$G$2:$G$4,0)))</f>
        <v>0</v>
      </c>
      <c r="AJ121">
        <f>IF(AI121="",0,INDEX(データベース!J$2:J$2,MATCH(AI121,データベース!I$2:I$2,0)))</f>
        <v>0</v>
      </c>
      <c r="AL121">
        <f>IF(AK121="",0,INDEX(データベース!L$2:L$3,MATCH(AK121,データベース!K$2:K$3,0)))</f>
        <v>0</v>
      </c>
      <c r="AN121">
        <f>IF(AM121="",0,INDEX(データベース!N$2:N$5,MATCH(AM121,データベース!M$2:M$5,0)))</f>
        <v>0</v>
      </c>
      <c r="AO121" s="4"/>
      <c r="AP121">
        <f>IF(AO121="",0,INDEX(データベース!P$2:P$3,MATCH(AO121,データベース!O$2:O$3,0)))</f>
        <v>0</v>
      </c>
      <c r="AR121">
        <f>IF(AQ121="",0,INDEX(データベース!R$2:R$27,MATCH(AQ121,データベース!Q$2:Q$27,0)))</f>
        <v>0</v>
      </c>
      <c r="AT121">
        <f>IF(AS121="",0,INDEX(データベース!T$2:T$4,MATCH(AS121,データベース!S$2:S$4,0)))</f>
        <v>0</v>
      </c>
      <c r="AV121">
        <f>IF(AU121="",0,INDEX(データベース!V$2:V$37,MATCH(AU121,データベース!U$2:U$37,0)))</f>
        <v>0</v>
      </c>
      <c r="AX121">
        <v>0</v>
      </c>
      <c r="AZ121">
        <v>0</v>
      </c>
      <c r="BB121">
        <v>0</v>
      </c>
    </row>
    <row r="122" spans="2:54">
      <c r="B122">
        <v>0</v>
      </c>
      <c r="G122">
        <f>IF(F122="",0,INDEX(データベース!D$2:D$4,MATCH(F122,データベース!C$2:C$4,0)))</f>
        <v>0</v>
      </c>
      <c r="J122" s="19" t="str">
        <f t="shared" si="6"/>
        <v>服装・</v>
      </c>
      <c r="L122" s="19" t="str">
        <f t="shared" si="7"/>
        <v>感情・</v>
      </c>
      <c r="N122" s="19" cm="1">
        <f t="array" aca="1" ref="N122" ca="1">IF(H122="",0,INDEX(データベース!$F$2:$F$5,MATCH(H122,データベース!$E$2:$E$5,0)))*1000
+IF(I122="",0,INDEX(データベース!$D$41:$D$44,MATCH(I122,OFFSET(データベース!$A$41,0,IF(H122="",0,INDEX(データベース!$F$2:$F$5,MATCH(H122,データベース!$E$2:$E$5,0)))-1,4,1),0),))*100
+IF(K122="",0,INDEX(データベース!$D$48:$D$52,MATCH(K122,OFFSET(データベース!$A$48,0,IF(H122="",0,INDEX(データベース!$F$2:$F$5,MATCH(H122,データベース!$E$2:$E$5,0)))-1,5,1),0),))*10
+IF(M122="",0,INDEX(データベース!$D$56:$D$62,MATCH(M122,OFFSET(データベース!$A$56,0,IF(H122="",0,INDEX(データベース!$F$2:$F$5,MATCH(H122,データベース!$E$2:$E$5,0)))-1,7,1),0),))</f>
        <v>0</v>
      </c>
      <c r="P122">
        <f>IF(O122="",0,INDEX(データベース!$H$2:$H$4,MATCH(O122,データベース!$G$2:$G$4,0)))</f>
        <v>0</v>
      </c>
      <c r="S122" s="18" t="str">
        <f t="shared" si="8"/>
        <v>服装・</v>
      </c>
      <c r="U122" s="18" t="str">
        <f t="shared" si="9"/>
        <v>感情・</v>
      </c>
      <c r="W122" s="18" cm="1">
        <f t="array" aca="1" ref="W122" ca="1">IF(Q122="",0,INDEX(データベース!$F$2:$F$5,MATCH(Q122,データベース!$E$2:$E$5,0)))*1000
+IF(R122="",0,INDEX(データベース!$D$41:$D$44,MATCH(R122,OFFSET(データベース!$A$41,0,IF(Q122="",0,INDEX(データベース!$F$2:$F$5,MATCH(Q122,データベース!$E$2:$E$5,0)))-1,4,1),0),))*100
+IF(T122="",0,INDEX(データベース!$D$48:$D$52,MATCH(T122,OFFSET(データベース!$A$48,0,IF(Q122="",0,INDEX(データベース!$F$2:$F$5,MATCH(Q122,データベース!$E$2:$E$5,0)))-1,5,1),0),))*10
+IF(V122="",0,INDEX(データベース!$D$56:$D$62,MATCH(V122,OFFSET(データベース!$A$56,0,IF(Q122="",0,INDEX(データベース!$F$2:$F$5,MATCH(Q122,データベース!$E$2:$E$5,0)))-1,7,1),0),))</f>
        <v>0</v>
      </c>
      <c r="Y122">
        <f>IF(X122="",0,INDEX(データベース!$H$2:$H$4,MATCH(X122,データベース!$G$2:$G$4,0)))</f>
        <v>0</v>
      </c>
      <c r="AB122" s="9" t="str">
        <f t="shared" si="10"/>
        <v>服装・</v>
      </c>
      <c r="AD122" s="9" t="str">
        <f t="shared" si="11"/>
        <v>感情・</v>
      </c>
      <c r="AF122" s="9" cm="1">
        <f t="array" aca="1" ref="AF122" ca="1">IF(Z122="",0,INDEX(データベース!$F$2:$F$5,MATCH(Z122,データベース!$E$2:$E$5,0)))*1000
+IF(AA122="",0,INDEX(データベース!$D$41:$D$44,MATCH(AA122,OFFSET(データベース!$A$41,0,IF(Z122="",0,INDEX(データベース!$F$2:$F$5,MATCH(Z122,データベース!$E$2:$E$5,0)))-1,4,1),0),))*100
+IF(AC122="",0,INDEX(データベース!$D$48:$D$52,MATCH(AC122,OFFSET(データベース!$A$48,0,IF(Z122="",0,INDEX(データベース!$F$2:$F$5,MATCH(Z122,データベース!$E$2:$E$5,0)))-1,5,1),0),))*10
+IF(AE122="",0,INDEX(データベース!$D$56:$D$62,MATCH(AE122,OFFSET(データベース!$A$56,0,IF(Z122="",0,INDEX(データベース!$F$2:$F$5,MATCH(Z122,データベース!$E$2:$E$5,0)))-1,7,1),0),))</f>
        <v>0</v>
      </c>
      <c r="AH122">
        <f>IF(AG122="",0,INDEX(データベース!$H$2:$H$4,MATCH(AG122,データベース!$G$2:$G$4,0)))</f>
        <v>0</v>
      </c>
      <c r="AJ122">
        <f>IF(AI122="",0,INDEX(データベース!J$2:J$2,MATCH(AI122,データベース!I$2:I$2,0)))</f>
        <v>0</v>
      </c>
      <c r="AL122">
        <f>IF(AK122="",0,INDEX(データベース!L$2:L$3,MATCH(AK122,データベース!K$2:K$3,0)))</f>
        <v>0</v>
      </c>
      <c r="AN122">
        <f>IF(AM122="",0,INDEX(データベース!N$2:N$5,MATCH(AM122,データベース!M$2:M$5,0)))</f>
        <v>0</v>
      </c>
      <c r="AO122" s="4"/>
      <c r="AP122">
        <f>IF(AO122="",0,INDEX(データベース!P$2:P$3,MATCH(AO122,データベース!O$2:O$3,0)))</f>
        <v>0</v>
      </c>
      <c r="AR122">
        <f>IF(AQ122="",0,INDEX(データベース!R$2:R$27,MATCH(AQ122,データベース!Q$2:Q$27,0)))</f>
        <v>0</v>
      </c>
      <c r="AT122">
        <f>IF(AS122="",0,INDEX(データベース!T$2:T$4,MATCH(AS122,データベース!S$2:S$4,0)))</f>
        <v>0</v>
      </c>
      <c r="AV122">
        <f>IF(AU122="",0,INDEX(データベース!V$2:V$37,MATCH(AU122,データベース!U$2:U$37,0)))</f>
        <v>0</v>
      </c>
      <c r="AX122">
        <v>0</v>
      </c>
      <c r="AZ122">
        <v>0</v>
      </c>
      <c r="BB122">
        <v>0</v>
      </c>
    </row>
    <row r="123" spans="2:54">
      <c r="B123">
        <v>0</v>
      </c>
      <c r="G123">
        <f>IF(F123="",0,INDEX(データベース!D$2:D$4,MATCH(F123,データベース!C$2:C$4,0)))</f>
        <v>0</v>
      </c>
      <c r="J123" s="19" t="str">
        <f t="shared" si="6"/>
        <v>服装・</v>
      </c>
      <c r="L123" s="19" t="str">
        <f t="shared" si="7"/>
        <v>感情・</v>
      </c>
      <c r="N123" s="19" cm="1">
        <f t="array" aca="1" ref="N123" ca="1">IF(H123="",0,INDEX(データベース!$F$2:$F$5,MATCH(H123,データベース!$E$2:$E$5,0)))*1000
+IF(I123="",0,INDEX(データベース!$D$41:$D$44,MATCH(I123,OFFSET(データベース!$A$41,0,IF(H123="",0,INDEX(データベース!$F$2:$F$5,MATCH(H123,データベース!$E$2:$E$5,0)))-1,4,1),0),))*100
+IF(K123="",0,INDEX(データベース!$D$48:$D$52,MATCH(K123,OFFSET(データベース!$A$48,0,IF(H123="",0,INDEX(データベース!$F$2:$F$5,MATCH(H123,データベース!$E$2:$E$5,0)))-1,5,1),0),))*10
+IF(M123="",0,INDEX(データベース!$D$56:$D$62,MATCH(M123,OFFSET(データベース!$A$56,0,IF(H123="",0,INDEX(データベース!$F$2:$F$5,MATCH(H123,データベース!$E$2:$E$5,0)))-1,7,1),0),))</f>
        <v>0</v>
      </c>
      <c r="P123">
        <f>IF(O123="",0,INDEX(データベース!$H$2:$H$4,MATCH(O123,データベース!$G$2:$G$4,0)))</f>
        <v>0</v>
      </c>
      <c r="S123" s="18" t="str">
        <f t="shared" si="8"/>
        <v>服装・</v>
      </c>
      <c r="U123" s="18" t="str">
        <f t="shared" si="9"/>
        <v>感情・</v>
      </c>
      <c r="W123" s="18" cm="1">
        <f t="array" aca="1" ref="W123" ca="1">IF(Q123="",0,INDEX(データベース!$F$2:$F$5,MATCH(Q123,データベース!$E$2:$E$5,0)))*1000
+IF(R123="",0,INDEX(データベース!$D$41:$D$44,MATCH(R123,OFFSET(データベース!$A$41,0,IF(Q123="",0,INDEX(データベース!$F$2:$F$5,MATCH(Q123,データベース!$E$2:$E$5,0)))-1,4,1),0),))*100
+IF(T123="",0,INDEX(データベース!$D$48:$D$52,MATCH(T123,OFFSET(データベース!$A$48,0,IF(Q123="",0,INDEX(データベース!$F$2:$F$5,MATCH(Q123,データベース!$E$2:$E$5,0)))-1,5,1),0),))*10
+IF(V123="",0,INDEX(データベース!$D$56:$D$62,MATCH(V123,OFFSET(データベース!$A$56,0,IF(Q123="",0,INDEX(データベース!$F$2:$F$5,MATCH(Q123,データベース!$E$2:$E$5,0)))-1,7,1),0),))</f>
        <v>0</v>
      </c>
      <c r="Y123">
        <f>IF(X123="",0,INDEX(データベース!$H$2:$H$4,MATCH(X123,データベース!$G$2:$G$4,0)))</f>
        <v>0</v>
      </c>
      <c r="AB123" s="9" t="str">
        <f t="shared" si="10"/>
        <v>服装・</v>
      </c>
      <c r="AD123" s="9" t="str">
        <f t="shared" si="11"/>
        <v>感情・</v>
      </c>
      <c r="AF123" s="9" cm="1">
        <f t="array" aca="1" ref="AF123" ca="1">IF(Z123="",0,INDEX(データベース!$F$2:$F$5,MATCH(Z123,データベース!$E$2:$E$5,0)))*1000
+IF(AA123="",0,INDEX(データベース!$D$41:$D$44,MATCH(AA123,OFFSET(データベース!$A$41,0,IF(Z123="",0,INDEX(データベース!$F$2:$F$5,MATCH(Z123,データベース!$E$2:$E$5,0)))-1,4,1),0),))*100
+IF(AC123="",0,INDEX(データベース!$D$48:$D$52,MATCH(AC123,OFFSET(データベース!$A$48,0,IF(Z123="",0,INDEX(データベース!$F$2:$F$5,MATCH(Z123,データベース!$E$2:$E$5,0)))-1,5,1),0),))*10
+IF(AE123="",0,INDEX(データベース!$D$56:$D$62,MATCH(AE123,OFFSET(データベース!$A$56,0,IF(Z123="",0,INDEX(データベース!$F$2:$F$5,MATCH(Z123,データベース!$E$2:$E$5,0)))-1,7,1),0),))</f>
        <v>0</v>
      </c>
      <c r="AH123">
        <f>IF(AG123="",0,INDEX(データベース!$H$2:$H$4,MATCH(AG123,データベース!$G$2:$G$4,0)))</f>
        <v>0</v>
      </c>
      <c r="AJ123">
        <f>IF(AI123="",0,INDEX(データベース!J$2:J$2,MATCH(AI123,データベース!I$2:I$2,0)))</f>
        <v>0</v>
      </c>
      <c r="AL123">
        <f>IF(AK123="",0,INDEX(データベース!L$2:L$3,MATCH(AK123,データベース!K$2:K$3,0)))</f>
        <v>0</v>
      </c>
      <c r="AN123">
        <f>IF(AM123="",0,INDEX(データベース!N$2:N$5,MATCH(AM123,データベース!M$2:M$5,0)))</f>
        <v>0</v>
      </c>
      <c r="AO123" s="4"/>
      <c r="AP123">
        <f>IF(AO123="",0,INDEX(データベース!P$2:P$3,MATCH(AO123,データベース!O$2:O$3,0)))</f>
        <v>0</v>
      </c>
      <c r="AR123">
        <f>IF(AQ123="",0,INDEX(データベース!R$2:R$27,MATCH(AQ123,データベース!Q$2:Q$27,0)))</f>
        <v>0</v>
      </c>
      <c r="AT123">
        <f>IF(AS123="",0,INDEX(データベース!T$2:T$4,MATCH(AS123,データベース!S$2:S$4,0)))</f>
        <v>0</v>
      </c>
      <c r="AV123">
        <f>IF(AU123="",0,INDEX(データベース!V$2:V$37,MATCH(AU123,データベース!U$2:U$37,0)))</f>
        <v>0</v>
      </c>
      <c r="AX123">
        <v>0</v>
      </c>
      <c r="AZ123">
        <v>0</v>
      </c>
      <c r="BB123">
        <v>0</v>
      </c>
    </row>
    <row r="124" spans="2:54">
      <c r="B124">
        <v>0</v>
      </c>
      <c r="G124">
        <f>IF(F124="",0,INDEX(データベース!D$2:D$4,MATCH(F124,データベース!C$2:C$4,0)))</f>
        <v>0</v>
      </c>
      <c r="J124" s="19" t="str">
        <f t="shared" si="6"/>
        <v>服装・</v>
      </c>
      <c r="L124" s="19" t="str">
        <f t="shared" si="7"/>
        <v>感情・</v>
      </c>
      <c r="N124" s="19" cm="1">
        <f t="array" aca="1" ref="N124" ca="1">IF(H124="",0,INDEX(データベース!$F$2:$F$5,MATCH(H124,データベース!$E$2:$E$5,0)))*1000
+IF(I124="",0,INDEX(データベース!$D$41:$D$44,MATCH(I124,OFFSET(データベース!$A$41,0,IF(H124="",0,INDEX(データベース!$F$2:$F$5,MATCH(H124,データベース!$E$2:$E$5,0)))-1,4,1),0),))*100
+IF(K124="",0,INDEX(データベース!$D$48:$D$52,MATCH(K124,OFFSET(データベース!$A$48,0,IF(H124="",0,INDEX(データベース!$F$2:$F$5,MATCH(H124,データベース!$E$2:$E$5,0)))-1,5,1),0),))*10
+IF(M124="",0,INDEX(データベース!$D$56:$D$62,MATCH(M124,OFFSET(データベース!$A$56,0,IF(H124="",0,INDEX(データベース!$F$2:$F$5,MATCH(H124,データベース!$E$2:$E$5,0)))-1,7,1),0),))</f>
        <v>0</v>
      </c>
      <c r="P124">
        <f>IF(O124="",0,INDEX(データベース!$H$2:$H$4,MATCH(O124,データベース!$G$2:$G$4,0)))</f>
        <v>0</v>
      </c>
      <c r="S124" s="18" t="str">
        <f t="shared" si="8"/>
        <v>服装・</v>
      </c>
      <c r="U124" s="18" t="str">
        <f t="shared" si="9"/>
        <v>感情・</v>
      </c>
      <c r="W124" s="18" cm="1">
        <f t="array" aca="1" ref="W124" ca="1">IF(Q124="",0,INDEX(データベース!$F$2:$F$5,MATCH(Q124,データベース!$E$2:$E$5,0)))*1000
+IF(R124="",0,INDEX(データベース!$D$41:$D$44,MATCH(R124,OFFSET(データベース!$A$41,0,IF(Q124="",0,INDEX(データベース!$F$2:$F$5,MATCH(Q124,データベース!$E$2:$E$5,0)))-1,4,1),0),))*100
+IF(T124="",0,INDEX(データベース!$D$48:$D$52,MATCH(T124,OFFSET(データベース!$A$48,0,IF(Q124="",0,INDEX(データベース!$F$2:$F$5,MATCH(Q124,データベース!$E$2:$E$5,0)))-1,5,1),0),))*10
+IF(V124="",0,INDEX(データベース!$D$56:$D$62,MATCH(V124,OFFSET(データベース!$A$56,0,IF(Q124="",0,INDEX(データベース!$F$2:$F$5,MATCH(Q124,データベース!$E$2:$E$5,0)))-1,7,1),0),))</f>
        <v>0</v>
      </c>
      <c r="Y124">
        <f>IF(X124="",0,INDEX(データベース!$H$2:$H$4,MATCH(X124,データベース!$G$2:$G$4,0)))</f>
        <v>0</v>
      </c>
      <c r="AB124" s="9" t="str">
        <f t="shared" si="10"/>
        <v>服装・</v>
      </c>
      <c r="AD124" s="9" t="str">
        <f t="shared" si="11"/>
        <v>感情・</v>
      </c>
      <c r="AF124" s="9" cm="1">
        <f t="array" aca="1" ref="AF124" ca="1">IF(Z124="",0,INDEX(データベース!$F$2:$F$5,MATCH(Z124,データベース!$E$2:$E$5,0)))*1000
+IF(AA124="",0,INDEX(データベース!$D$41:$D$44,MATCH(AA124,OFFSET(データベース!$A$41,0,IF(Z124="",0,INDEX(データベース!$F$2:$F$5,MATCH(Z124,データベース!$E$2:$E$5,0)))-1,4,1),0),))*100
+IF(AC124="",0,INDEX(データベース!$D$48:$D$52,MATCH(AC124,OFFSET(データベース!$A$48,0,IF(Z124="",0,INDEX(データベース!$F$2:$F$5,MATCH(Z124,データベース!$E$2:$E$5,0)))-1,5,1),0),))*10
+IF(AE124="",0,INDEX(データベース!$D$56:$D$62,MATCH(AE124,OFFSET(データベース!$A$56,0,IF(Z124="",0,INDEX(データベース!$F$2:$F$5,MATCH(Z124,データベース!$E$2:$E$5,0)))-1,7,1),0),))</f>
        <v>0</v>
      </c>
      <c r="AH124">
        <f>IF(AG124="",0,INDEX(データベース!$H$2:$H$4,MATCH(AG124,データベース!$G$2:$G$4,0)))</f>
        <v>0</v>
      </c>
      <c r="AJ124">
        <f>IF(AI124="",0,INDEX(データベース!J$2:J$2,MATCH(AI124,データベース!I$2:I$2,0)))</f>
        <v>0</v>
      </c>
      <c r="AL124">
        <f>IF(AK124="",0,INDEX(データベース!L$2:L$3,MATCH(AK124,データベース!K$2:K$3,0)))</f>
        <v>0</v>
      </c>
      <c r="AN124">
        <f>IF(AM124="",0,INDEX(データベース!N$2:N$5,MATCH(AM124,データベース!M$2:M$5,0)))</f>
        <v>0</v>
      </c>
      <c r="AO124" s="4"/>
      <c r="AP124">
        <f>IF(AO124="",0,INDEX(データベース!P$2:P$3,MATCH(AO124,データベース!O$2:O$3,0)))</f>
        <v>0</v>
      </c>
      <c r="AR124">
        <f>IF(AQ124="",0,INDEX(データベース!R$2:R$27,MATCH(AQ124,データベース!Q$2:Q$27,0)))</f>
        <v>0</v>
      </c>
      <c r="AT124">
        <f>IF(AS124="",0,INDEX(データベース!T$2:T$4,MATCH(AS124,データベース!S$2:S$4,0)))</f>
        <v>0</v>
      </c>
      <c r="AV124">
        <f>IF(AU124="",0,INDEX(データベース!V$2:V$37,MATCH(AU124,データベース!U$2:U$37,0)))</f>
        <v>0</v>
      </c>
      <c r="AX124">
        <v>0</v>
      </c>
      <c r="AZ124">
        <v>0</v>
      </c>
      <c r="BB124">
        <v>0</v>
      </c>
    </row>
    <row r="125" spans="2:54">
      <c r="B125">
        <v>0</v>
      </c>
      <c r="G125">
        <f>IF(F125="",0,INDEX(データベース!D$2:D$4,MATCH(F125,データベース!C$2:C$4,0)))</f>
        <v>0</v>
      </c>
      <c r="J125" s="19" t="str">
        <f t="shared" si="6"/>
        <v>服装・</v>
      </c>
      <c r="L125" s="19" t="str">
        <f t="shared" si="7"/>
        <v>感情・</v>
      </c>
      <c r="N125" s="19" cm="1">
        <f t="array" aca="1" ref="N125" ca="1">IF(H125="",0,INDEX(データベース!$F$2:$F$5,MATCH(H125,データベース!$E$2:$E$5,0)))*1000
+IF(I125="",0,INDEX(データベース!$D$41:$D$44,MATCH(I125,OFFSET(データベース!$A$41,0,IF(H125="",0,INDEX(データベース!$F$2:$F$5,MATCH(H125,データベース!$E$2:$E$5,0)))-1,4,1),0),))*100
+IF(K125="",0,INDEX(データベース!$D$48:$D$52,MATCH(K125,OFFSET(データベース!$A$48,0,IF(H125="",0,INDEX(データベース!$F$2:$F$5,MATCH(H125,データベース!$E$2:$E$5,0)))-1,5,1),0),))*10
+IF(M125="",0,INDEX(データベース!$D$56:$D$62,MATCH(M125,OFFSET(データベース!$A$56,0,IF(H125="",0,INDEX(データベース!$F$2:$F$5,MATCH(H125,データベース!$E$2:$E$5,0)))-1,7,1),0),))</f>
        <v>0</v>
      </c>
      <c r="P125">
        <f>IF(O125="",0,INDEX(データベース!$H$2:$H$4,MATCH(O125,データベース!$G$2:$G$4,0)))</f>
        <v>0</v>
      </c>
      <c r="S125" s="18" t="str">
        <f t="shared" si="8"/>
        <v>服装・</v>
      </c>
      <c r="U125" s="18" t="str">
        <f t="shared" si="9"/>
        <v>感情・</v>
      </c>
      <c r="W125" s="18" cm="1">
        <f t="array" aca="1" ref="W125" ca="1">IF(Q125="",0,INDEX(データベース!$F$2:$F$5,MATCH(Q125,データベース!$E$2:$E$5,0)))*1000
+IF(R125="",0,INDEX(データベース!$D$41:$D$44,MATCH(R125,OFFSET(データベース!$A$41,0,IF(Q125="",0,INDEX(データベース!$F$2:$F$5,MATCH(Q125,データベース!$E$2:$E$5,0)))-1,4,1),0),))*100
+IF(T125="",0,INDEX(データベース!$D$48:$D$52,MATCH(T125,OFFSET(データベース!$A$48,0,IF(Q125="",0,INDEX(データベース!$F$2:$F$5,MATCH(Q125,データベース!$E$2:$E$5,0)))-1,5,1),0),))*10
+IF(V125="",0,INDEX(データベース!$D$56:$D$62,MATCH(V125,OFFSET(データベース!$A$56,0,IF(Q125="",0,INDEX(データベース!$F$2:$F$5,MATCH(Q125,データベース!$E$2:$E$5,0)))-1,7,1),0),))</f>
        <v>0</v>
      </c>
      <c r="Y125">
        <f>IF(X125="",0,INDEX(データベース!$H$2:$H$4,MATCH(X125,データベース!$G$2:$G$4,0)))</f>
        <v>0</v>
      </c>
      <c r="AB125" s="9" t="str">
        <f t="shared" si="10"/>
        <v>服装・</v>
      </c>
      <c r="AD125" s="9" t="str">
        <f t="shared" si="11"/>
        <v>感情・</v>
      </c>
      <c r="AF125" s="9" cm="1">
        <f t="array" aca="1" ref="AF125" ca="1">IF(Z125="",0,INDEX(データベース!$F$2:$F$5,MATCH(Z125,データベース!$E$2:$E$5,0)))*1000
+IF(AA125="",0,INDEX(データベース!$D$41:$D$44,MATCH(AA125,OFFSET(データベース!$A$41,0,IF(Z125="",0,INDEX(データベース!$F$2:$F$5,MATCH(Z125,データベース!$E$2:$E$5,0)))-1,4,1),0),))*100
+IF(AC125="",0,INDEX(データベース!$D$48:$D$52,MATCH(AC125,OFFSET(データベース!$A$48,0,IF(Z125="",0,INDEX(データベース!$F$2:$F$5,MATCH(Z125,データベース!$E$2:$E$5,0)))-1,5,1),0),))*10
+IF(AE125="",0,INDEX(データベース!$D$56:$D$62,MATCH(AE125,OFFSET(データベース!$A$56,0,IF(Z125="",0,INDEX(データベース!$F$2:$F$5,MATCH(Z125,データベース!$E$2:$E$5,0)))-1,7,1),0),))</f>
        <v>0</v>
      </c>
      <c r="AH125">
        <f>IF(AG125="",0,INDEX(データベース!$H$2:$H$4,MATCH(AG125,データベース!$G$2:$G$4,0)))</f>
        <v>0</v>
      </c>
      <c r="AJ125">
        <f>IF(AI125="",0,INDEX(データベース!J$2:J$2,MATCH(AI125,データベース!I$2:I$2,0)))</f>
        <v>0</v>
      </c>
      <c r="AL125">
        <f>IF(AK125="",0,INDEX(データベース!L$2:L$3,MATCH(AK125,データベース!K$2:K$3,0)))</f>
        <v>0</v>
      </c>
      <c r="AN125">
        <f>IF(AM125="",0,INDEX(データベース!N$2:N$5,MATCH(AM125,データベース!M$2:M$5,0)))</f>
        <v>0</v>
      </c>
      <c r="AO125" s="4"/>
      <c r="AP125">
        <f>IF(AO125="",0,INDEX(データベース!P$2:P$3,MATCH(AO125,データベース!O$2:O$3,0)))</f>
        <v>0</v>
      </c>
      <c r="AR125">
        <f>IF(AQ125="",0,INDEX(データベース!R$2:R$27,MATCH(AQ125,データベース!Q$2:Q$27,0)))</f>
        <v>0</v>
      </c>
      <c r="AT125">
        <f>IF(AS125="",0,INDEX(データベース!T$2:T$4,MATCH(AS125,データベース!S$2:S$4,0)))</f>
        <v>0</v>
      </c>
      <c r="AV125">
        <f>IF(AU125="",0,INDEX(データベース!V$2:V$37,MATCH(AU125,データベース!U$2:U$37,0)))</f>
        <v>0</v>
      </c>
      <c r="AX125">
        <v>0</v>
      </c>
      <c r="AZ125">
        <v>0</v>
      </c>
      <c r="BB125">
        <v>0</v>
      </c>
    </row>
    <row r="126" spans="2:54">
      <c r="B126">
        <v>0</v>
      </c>
      <c r="G126">
        <f>IF(F126="",0,INDEX(データベース!D$2:D$4,MATCH(F126,データベース!C$2:C$4,0)))</f>
        <v>0</v>
      </c>
      <c r="J126" s="19" t="str">
        <f t="shared" si="6"/>
        <v>服装・</v>
      </c>
      <c r="L126" s="19" t="str">
        <f t="shared" si="7"/>
        <v>感情・</v>
      </c>
      <c r="N126" s="19" cm="1">
        <f t="array" aca="1" ref="N126" ca="1">IF(H126="",0,INDEX(データベース!$F$2:$F$5,MATCH(H126,データベース!$E$2:$E$5,0)))*1000
+IF(I126="",0,INDEX(データベース!$D$41:$D$44,MATCH(I126,OFFSET(データベース!$A$41,0,IF(H126="",0,INDEX(データベース!$F$2:$F$5,MATCH(H126,データベース!$E$2:$E$5,0)))-1,4,1),0),))*100
+IF(K126="",0,INDEX(データベース!$D$48:$D$52,MATCH(K126,OFFSET(データベース!$A$48,0,IF(H126="",0,INDEX(データベース!$F$2:$F$5,MATCH(H126,データベース!$E$2:$E$5,0)))-1,5,1),0),))*10
+IF(M126="",0,INDEX(データベース!$D$56:$D$62,MATCH(M126,OFFSET(データベース!$A$56,0,IF(H126="",0,INDEX(データベース!$F$2:$F$5,MATCH(H126,データベース!$E$2:$E$5,0)))-1,7,1),0),))</f>
        <v>0</v>
      </c>
      <c r="P126">
        <f>IF(O126="",0,INDEX(データベース!$H$2:$H$4,MATCH(O126,データベース!$G$2:$G$4,0)))</f>
        <v>0</v>
      </c>
      <c r="S126" s="18" t="str">
        <f t="shared" si="8"/>
        <v>服装・</v>
      </c>
      <c r="U126" s="18" t="str">
        <f t="shared" si="9"/>
        <v>感情・</v>
      </c>
      <c r="W126" s="18" cm="1">
        <f t="array" aca="1" ref="W126" ca="1">IF(Q126="",0,INDEX(データベース!$F$2:$F$5,MATCH(Q126,データベース!$E$2:$E$5,0)))*1000
+IF(R126="",0,INDEX(データベース!$D$41:$D$44,MATCH(R126,OFFSET(データベース!$A$41,0,IF(Q126="",0,INDEX(データベース!$F$2:$F$5,MATCH(Q126,データベース!$E$2:$E$5,0)))-1,4,1),0),))*100
+IF(T126="",0,INDEX(データベース!$D$48:$D$52,MATCH(T126,OFFSET(データベース!$A$48,0,IF(Q126="",0,INDEX(データベース!$F$2:$F$5,MATCH(Q126,データベース!$E$2:$E$5,0)))-1,5,1),0),))*10
+IF(V126="",0,INDEX(データベース!$D$56:$D$62,MATCH(V126,OFFSET(データベース!$A$56,0,IF(Q126="",0,INDEX(データベース!$F$2:$F$5,MATCH(Q126,データベース!$E$2:$E$5,0)))-1,7,1),0),))</f>
        <v>0</v>
      </c>
      <c r="Y126">
        <f>IF(X126="",0,INDEX(データベース!$H$2:$H$4,MATCH(X126,データベース!$G$2:$G$4,0)))</f>
        <v>0</v>
      </c>
      <c r="AB126" s="9" t="str">
        <f t="shared" si="10"/>
        <v>服装・</v>
      </c>
      <c r="AD126" s="9" t="str">
        <f t="shared" si="11"/>
        <v>感情・</v>
      </c>
      <c r="AF126" s="9" cm="1">
        <f t="array" aca="1" ref="AF126" ca="1">IF(Z126="",0,INDEX(データベース!$F$2:$F$5,MATCH(Z126,データベース!$E$2:$E$5,0)))*1000
+IF(AA126="",0,INDEX(データベース!$D$41:$D$44,MATCH(AA126,OFFSET(データベース!$A$41,0,IF(Z126="",0,INDEX(データベース!$F$2:$F$5,MATCH(Z126,データベース!$E$2:$E$5,0)))-1,4,1),0),))*100
+IF(AC126="",0,INDEX(データベース!$D$48:$D$52,MATCH(AC126,OFFSET(データベース!$A$48,0,IF(Z126="",0,INDEX(データベース!$F$2:$F$5,MATCH(Z126,データベース!$E$2:$E$5,0)))-1,5,1),0),))*10
+IF(AE126="",0,INDEX(データベース!$D$56:$D$62,MATCH(AE126,OFFSET(データベース!$A$56,0,IF(Z126="",0,INDEX(データベース!$F$2:$F$5,MATCH(Z126,データベース!$E$2:$E$5,0)))-1,7,1),0),))</f>
        <v>0</v>
      </c>
      <c r="AH126">
        <f>IF(AG126="",0,INDEX(データベース!$H$2:$H$4,MATCH(AG126,データベース!$G$2:$G$4,0)))</f>
        <v>0</v>
      </c>
      <c r="AJ126">
        <f>IF(AI126="",0,INDEX(データベース!J$2:J$2,MATCH(AI126,データベース!I$2:I$2,0)))</f>
        <v>0</v>
      </c>
      <c r="AL126">
        <f>IF(AK126="",0,INDEX(データベース!L$2:L$3,MATCH(AK126,データベース!K$2:K$3,0)))</f>
        <v>0</v>
      </c>
      <c r="AN126">
        <f>IF(AM126="",0,INDEX(データベース!N$2:N$5,MATCH(AM126,データベース!M$2:M$5,0)))</f>
        <v>0</v>
      </c>
      <c r="AO126" s="4"/>
      <c r="AP126">
        <f>IF(AO126="",0,INDEX(データベース!P$2:P$3,MATCH(AO126,データベース!O$2:O$3,0)))</f>
        <v>0</v>
      </c>
      <c r="AR126">
        <f>IF(AQ126="",0,INDEX(データベース!R$2:R$27,MATCH(AQ126,データベース!Q$2:Q$27,0)))</f>
        <v>0</v>
      </c>
      <c r="AT126">
        <f>IF(AS126="",0,INDEX(データベース!T$2:T$4,MATCH(AS126,データベース!S$2:S$4,0)))</f>
        <v>0</v>
      </c>
      <c r="AV126">
        <f>IF(AU126="",0,INDEX(データベース!V$2:V$37,MATCH(AU126,データベース!U$2:U$37,0)))</f>
        <v>0</v>
      </c>
      <c r="AX126">
        <v>0</v>
      </c>
      <c r="AZ126">
        <v>0</v>
      </c>
      <c r="BB126">
        <v>0</v>
      </c>
    </row>
    <row r="127" spans="2:54">
      <c r="B127">
        <v>0</v>
      </c>
      <c r="G127">
        <f>IF(F127="",0,INDEX(データベース!D$2:D$4,MATCH(F127,データベース!C$2:C$4,0)))</f>
        <v>0</v>
      </c>
      <c r="J127" s="19" t="str">
        <f t="shared" si="6"/>
        <v>服装・</v>
      </c>
      <c r="L127" s="19" t="str">
        <f t="shared" si="7"/>
        <v>感情・</v>
      </c>
      <c r="N127" s="19" cm="1">
        <f t="array" aca="1" ref="N127" ca="1">IF(H127="",0,INDEX(データベース!$F$2:$F$5,MATCH(H127,データベース!$E$2:$E$5,0)))*1000
+IF(I127="",0,INDEX(データベース!$D$41:$D$44,MATCH(I127,OFFSET(データベース!$A$41,0,IF(H127="",0,INDEX(データベース!$F$2:$F$5,MATCH(H127,データベース!$E$2:$E$5,0)))-1,4,1),0),))*100
+IF(K127="",0,INDEX(データベース!$D$48:$D$52,MATCH(K127,OFFSET(データベース!$A$48,0,IF(H127="",0,INDEX(データベース!$F$2:$F$5,MATCH(H127,データベース!$E$2:$E$5,0)))-1,5,1),0),))*10
+IF(M127="",0,INDEX(データベース!$D$56:$D$62,MATCH(M127,OFFSET(データベース!$A$56,0,IF(H127="",0,INDEX(データベース!$F$2:$F$5,MATCH(H127,データベース!$E$2:$E$5,0)))-1,7,1),0),))</f>
        <v>0</v>
      </c>
      <c r="P127">
        <f>IF(O127="",0,INDEX(データベース!$H$2:$H$4,MATCH(O127,データベース!$G$2:$G$4,0)))</f>
        <v>0</v>
      </c>
      <c r="S127" s="18" t="str">
        <f t="shared" si="8"/>
        <v>服装・</v>
      </c>
      <c r="U127" s="18" t="str">
        <f t="shared" si="9"/>
        <v>感情・</v>
      </c>
      <c r="W127" s="18" cm="1">
        <f t="array" aca="1" ref="W127" ca="1">IF(Q127="",0,INDEX(データベース!$F$2:$F$5,MATCH(Q127,データベース!$E$2:$E$5,0)))*1000
+IF(R127="",0,INDEX(データベース!$D$41:$D$44,MATCH(R127,OFFSET(データベース!$A$41,0,IF(Q127="",0,INDEX(データベース!$F$2:$F$5,MATCH(Q127,データベース!$E$2:$E$5,0)))-1,4,1),0),))*100
+IF(T127="",0,INDEX(データベース!$D$48:$D$52,MATCH(T127,OFFSET(データベース!$A$48,0,IF(Q127="",0,INDEX(データベース!$F$2:$F$5,MATCH(Q127,データベース!$E$2:$E$5,0)))-1,5,1),0),))*10
+IF(V127="",0,INDEX(データベース!$D$56:$D$62,MATCH(V127,OFFSET(データベース!$A$56,0,IF(Q127="",0,INDEX(データベース!$F$2:$F$5,MATCH(Q127,データベース!$E$2:$E$5,0)))-1,7,1),0),))</f>
        <v>0</v>
      </c>
      <c r="Y127">
        <f>IF(X127="",0,INDEX(データベース!$H$2:$H$4,MATCH(X127,データベース!$G$2:$G$4,0)))</f>
        <v>0</v>
      </c>
      <c r="AB127" s="9" t="str">
        <f t="shared" si="10"/>
        <v>服装・</v>
      </c>
      <c r="AD127" s="9" t="str">
        <f t="shared" si="11"/>
        <v>感情・</v>
      </c>
      <c r="AF127" s="9" cm="1">
        <f t="array" aca="1" ref="AF127" ca="1">IF(Z127="",0,INDEX(データベース!$F$2:$F$5,MATCH(Z127,データベース!$E$2:$E$5,0)))*1000
+IF(AA127="",0,INDEX(データベース!$D$41:$D$44,MATCH(AA127,OFFSET(データベース!$A$41,0,IF(Z127="",0,INDEX(データベース!$F$2:$F$5,MATCH(Z127,データベース!$E$2:$E$5,0)))-1,4,1),0),))*100
+IF(AC127="",0,INDEX(データベース!$D$48:$D$52,MATCH(AC127,OFFSET(データベース!$A$48,0,IF(Z127="",0,INDEX(データベース!$F$2:$F$5,MATCH(Z127,データベース!$E$2:$E$5,0)))-1,5,1),0),))*10
+IF(AE127="",0,INDEX(データベース!$D$56:$D$62,MATCH(AE127,OFFSET(データベース!$A$56,0,IF(Z127="",0,INDEX(データベース!$F$2:$F$5,MATCH(Z127,データベース!$E$2:$E$5,0)))-1,7,1),0),))</f>
        <v>0</v>
      </c>
      <c r="AH127">
        <f>IF(AG127="",0,INDEX(データベース!$H$2:$H$4,MATCH(AG127,データベース!$G$2:$G$4,0)))</f>
        <v>0</v>
      </c>
      <c r="AJ127">
        <f>IF(AI127="",0,INDEX(データベース!J$2:J$2,MATCH(AI127,データベース!I$2:I$2,0)))</f>
        <v>0</v>
      </c>
      <c r="AL127">
        <f>IF(AK127="",0,INDEX(データベース!L$2:L$3,MATCH(AK127,データベース!K$2:K$3,0)))</f>
        <v>0</v>
      </c>
      <c r="AN127">
        <f>IF(AM127="",0,INDEX(データベース!N$2:N$5,MATCH(AM127,データベース!M$2:M$5,0)))</f>
        <v>0</v>
      </c>
      <c r="AO127" s="4"/>
      <c r="AP127">
        <f>IF(AO127="",0,INDEX(データベース!P$2:P$3,MATCH(AO127,データベース!O$2:O$3,0)))</f>
        <v>0</v>
      </c>
      <c r="AR127">
        <f>IF(AQ127="",0,INDEX(データベース!R$2:R$27,MATCH(AQ127,データベース!Q$2:Q$27,0)))</f>
        <v>0</v>
      </c>
      <c r="AT127">
        <f>IF(AS127="",0,INDEX(データベース!T$2:T$4,MATCH(AS127,データベース!S$2:S$4,0)))</f>
        <v>0</v>
      </c>
      <c r="AV127">
        <f>IF(AU127="",0,INDEX(データベース!V$2:V$37,MATCH(AU127,データベース!U$2:U$37,0)))</f>
        <v>0</v>
      </c>
      <c r="AX127">
        <v>0</v>
      </c>
      <c r="AZ127">
        <v>0</v>
      </c>
      <c r="BB127">
        <v>0</v>
      </c>
    </row>
    <row r="128" spans="2:54">
      <c r="B128">
        <v>0</v>
      </c>
      <c r="G128">
        <f>IF(F128="",0,INDEX(データベース!D$2:D$4,MATCH(F128,データベース!C$2:C$4,0)))</f>
        <v>0</v>
      </c>
      <c r="J128" s="19" t="str">
        <f t="shared" si="6"/>
        <v>服装・</v>
      </c>
      <c r="L128" s="19" t="str">
        <f t="shared" si="7"/>
        <v>感情・</v>
      </c>
      <c r="N128" s="19" cm="1">
        <f t="array" aca="1" ref="N128" ca="1">IF(H128="",0,INDEX(データベース!$F$2:$F$5,MATCH(H128,データベース!$E$2:$E$5,0)))*1000
+IF(I128="",0,INDEX(データベース!$D$41:$D$44,MATCH(I128,OFFSET(データベース!$A$41,0,IF(H128="",0,INDEX(データベース!$F$2:$F$5,MATCH(H128,データベース!$E$2:$E$5,0)))-1,4,1),0),))*100
+IF(K128="",0,INDEX(データベース!$D$48:$D$52,MATCH(K128,OFFSET(データベース!$A$48,0,IF(H128="",0,INDEX(データベース!$F$2:$F$5,MATCH(H128,データベース!$E$2:$E$5,0)))-1,5,1),0),))*10
+IF(M128="",0,INDEX(データベース!$D$56:$D$62,MATCH(M128,OFFSET(データベース!$A$56,0,IF(H128="",0,INDEX(データベース!$F$2:$F$5,MATCH(H128,データベース!$E$2:$E$5,0)))-1,7,1),0),))</f>
        <v>0</v>
      </c>
      <c r="P128">
        <f>IF(O128="",0,INDEX(データベース!$H$2:$H$4,MATCH(O128,データベース!$G$2:$G$4,0)))</f>
        <v>0</v>
      </c>
      <c r="S128" s="18" t="str">
        <f t="shared" si="8"/>
        <v>服装・</v>
      </c>
      <c r="U128" s="18" t="str">
        <f t="shared" si="9"/>
        <v>感情・</v>
      </c>
      <c r="W128" s="18" cm="1">
        <f t="array" aca="1" ref="W128" ca="1">IF(Q128="",0,INDEX(データベース!$F$2:$F$5,MATCH(Q128,データベース!$E$2:$E$5,0)))*1000
+IF(R128="",0,INDEX(データベース!$D$41:$D$44,MATCH(R128,OFFSET(データベース!$A$41,0,IF(Q128="",0,INDEX(データベース!$F$2:$F$5,MATCH(Q128,データベース!$E$2:$E$5,0)))-1,4,1),0),))*100
+IF(T128="",0,INDEX(データベース!$D$48:$D$52,MATCH(T128,OFFSET(データベース!$A$48,0,IF(Q128="",0,INDEX(データベース!$F$2:$F$5,MATCH(Q128,データベース!$E$2:$E$5,0)))-1,5,1),0),))*10
+IF(V128="",0,INDEX(データベース!$D$56:$D$62,MATCH(V128,OFFSET(データベース!$A$56,0,IF(Q128="",0,INDEX(データベース!$F$2:$F$5,MATCH(Q128,データベース!$E$2:$E$5,0)))-1,7,1),0),))</f>
        <v>0</v>
      </c>
      <c r="Y128">
        <f>IF(X128="",0,INDEX(データベース!$H$2:$H$4,MATCH(X128,データベース!$G$2:$G$4,0)))</f>
        <v>0</v>
      </c>
      <c r="AB128" s="9" t="str">
        <f t="shared" si="10"/>
        <v>服装・</v>
      </c>
      <c r="AD128" s="9" t="str">
        <f t="shared" si="11"/>
        <v>感情・</v>
      </c>
      <c r="AF128" s="9" cm="1">
        <f t="array" aca="1" ref="AF128" ca="1">IF(Z128="",0,INDEX(データベース!$F$2:$F$5,MATCH(Z128,データベース!$E$2:$E$5,0)))*1000
+IF(AA128="",0,INDEX(データベース!$D$41:$D$44,MATCH(AA128,OFFSET(データベース!$A$41,0,IF(Z128="",0,INDEX(データベース!$F$2:$F$5,MATCH(Z128,データベース!$E$2:$E$5,0)))-1,4,1),0),))*100
+IF(AC128="",0,INDEX(データベース!$D$48:$D$52,MATCH(AC128,OFFSET(データベース!$A$48,0,IF(Z128="",0,INDEX(データベース!$F$2:$F$5,MATCH(Z128,データベース!$E$2:$E$5,0)))-1,5,1),0),))*10
+IF(AE128="",0,INDEX(データベース!$D$56:$D$62,MATCH(AE128,OFFSET(データベース!$A$56,0,IF(Z128="",0,INDEX(データベース!$F$2:$F$5,MATCH(Z128,データベース!$E$2:$E$5,0)))-1,7,1),0),))</f>
        <v>0</v>
      </c>
      <c r="AH128">
        <f>IF(AG128="",0,INDEX(データベース!$H$2:$H$4,MATCH(AG128,データベース!$G$2:$G$4,0)))</f>
        <v>0</v>
      </c>
      <c r="AJ128">
        <f>IF(AI128="",0,INDEX(データベース!J$2:J$2,MATCH(AI128,データベース!I$2:I$2,0)))</f>
        <v>0</v>
      </c>
      <c r="AL128">
        <f>IF(AK128="",0,INDEX(データベース!L$2:L$3,MATCH(AK128,データベース!K$2:K$3,0)))</f>
        <v>0</v>
      </c>
      <c r="AN128">
        <f>IF(AM128="",0,INDEX(データベース!N$2:N$5,MATCH(AM128,データベース!M$2:M$5,0)))</f>
        <v>0</v>
      </c>
      <c r="AO128" s="4"/>
      <c r="AP128">
        <f>IF(AO128="",0,INDEX(データベース!P$2:P$3,MATCH(AO128,データベース!O$2:O$3,0)))</f>
        <v>0</v>
      </c>
      <c r="AR128">
        <f>IF(AQ128="",0,INDEX(データベース!R$2:R$27,MATCH(AQ128,データベース!Q$2:Q$27,0)))</f>
        <v>0</v>
      </c>
      <c r="AT128">
        <f>IF(AS128="",0,INDEX(データベース!T$2:T$4,MATCH(AS128,データベース!S$2:S$4,0)))</f>
        <v>0</v>
      </c>
      <c r="AV128">
        <f>IF(AU128="",0,INDEX(データベース!V$2:V$37,MATCH(AU128,データベース!U$2:U$37,0)))</f>
        <v>0</v>
      </c>
      <c r="AX128">
        <v>0</v>
      </c>
      <c r="AZ128">
        <v>0</v>
      </c>
      <c r="BB128">
        <v>0</v>
      </c>
    </row>
    <row r="129" spans="2:54">
      <c r="B129">
        <v>0</v>
      </c>
      <c r="G129">
        <f>IF(F129="",0,INDEX(データベース!D$2:D$4,MATCH(F129,データベース!C$2:C$4,0)))</f>
        <v>0</v>
      </c>
      <c r="J129" s="19" t="str">
        <f t="shared" si="6"/>
        <v>服装・</v>
      </c>
      <c r="L129" s="19" t="str">
        <f t="shared" si="7"/>
        <v>感情・</v>
      </c>
      <c r="N129" s="19" cm="1">
        <f t="array" aca="1" ref="N129" ca="1">IF(H129="",0,INDEX(データベース!$F$2:$F$5,MATCH(H129,データベース!$E$2:$E$5,0)))*1000
+IF(I129="",0,INDEX(データベース!$D$41:$D$44,MATCH(I129,OFFSET(データベース!$A$41,0,IF(H129="",0,INDEX(データベース!$F$2:$F$5,MATCH(H129,データベース!$E$2:$E$5,0)))-1,4,1),0),))*100
+IF(K129="",0,INDEX(データベース!$D$48:$D$52,MATCH(K129,OFFSET(データベース!$A$48,0,IF(H129="",0,INDEX(データベース!$F$2:$F$5,MATCH(H129,データベース!$E$2:$E$5,0)))-1,5,1),0),))*10
+IF(M129="",0,INDEX(データベース!$D$56:$D$62,MATCH(M129,OFFSET(データベース!$A$56,0,IF(H129="",0,INDEX(データベース!$F$2:$F$5,MATCH(H129,データベース!$E$2:$E$5,0)))-1,7,1),0),))</f>
        <v>0</v>
      </c>
      <c r="P129">
        <f>IF(O129="",0,INDEX(データベース!$H$2:$H$4,MATCH(O129,データベース!$G$2:$G$4,0)))</f>
        <v>0</v>
      </c>
      <c r="S129" s="18" t="str">
        <f t="shared" si="8"/>
        <v>服装・</v>
      </c>
      <c r="U129" s="18" t="str">
        <f t="shared" si="9"/>
        <v>感情・</v>
      </c>
      <c r="W129" s="18" cm="1">
        <f t="array" aca="1" ref="W129" ca="1">IF(Q129="",0,INDEX(データベース!$F$2:$F$5,MATCH(Q129,データベース!$E$2:$E$5,0)))*1000
+IF(R129="",0,INDEX(データベース!$D$41:$D$44,MATCH(R129,OFFSET(データベース!$A$41,0,IF(Q129="",0,INDEX(データベース!$F$2:$F$5,MATCH(Q129,データベース!$E$2:$E$5,0)))-1,4,1),0),))*100
+IF(T129="",0,INDEX(データベース!$D$48:$D$52,MATCH(T129,OFFSET(データベース!$A$48,0,IF(Q129="",0,INDEX(データベース!$F$2:$F$5,MATCH(Q129,データベース!$E$2:$E$5,0)))-1,5,1),0),))*10
+IF(V129="",0,INDEX(データベース!$D$56:$D$62,MATCH(V129,OFFSET(データベース!$A$56,0,IF(Q129="",0,INDEX(データベース!$F$2:$F$5,MATCH(Q129,データベース!$E$2:$E$5,0)))-1,7,1),0),))</f>
        <v>0</v>
      </c>
      <c r="Y129">
        <f>IF(X129="",0,INDEX(データベース!$H$2:$H$4,MATCH(X129,データベース!$G$2:$G$4,0)))</f>
        <v>0</v>
      </c>
      <c r="AB129" s="9" t="str">
        <f t="shared" si="10"/>
        <v>服装・</v>
      </c>
      <c r="AD129" s="9" t="str">
        <f t="shared" si="11"/>
        <v>感情・</v>
      </c>
      <c r="AF129" s="9" cm="1">
        <f t="array" aca="1" ref="AF129" ca="1">IF(Z129="",0,INDEX(データベース!$F$2:$F$5,MATCH(Z129,データベース!$E$2:$E$5,0)))*1000
+IF(AA129="",0,INDEX(データベース!$D$41:$D$44,MATCH(AA129,OFFSET(データベース!$A$41,0,IF(Z129="",0,INDEX(データベース!$F$2:$F$5,MATCH(Z129,データベース!$E$2:$E$5,0)))-1,4,1),0),))*100
+IF(AC129="",0,INDEX(データベース!$D$48:$D$52,MATCH(AC129,OFFSET(データベース!$A$48,0,IF(Z129="",0,INDEX(データベース!$F$2:$F$5,MATCH(Z129,データベース!$E$2:$E$5,0)))-1,5,1),0),))*10
+IF(AE129="",0,INDEX(データベース!$D$56:$D$62,MATCH(AE129,OFFSET(データベース!$A$56,0,IF(Z129="",0,INDEX(データベース!$F$2:$F$5,MATCH(Z129,データベース!$E$2:$E$5,0)))-1,7,1),0),))</f>
        <v>0</v>
      </c>
      <c r="AH129">
        <f>IF(AG129="",0,INDEX(データベース!$H$2:$H$4,MATCH(AG129,データベース!$G$2:$G$4,0)))</f>
        <v>0</v>
      </c>
      <c r="AJ129">
        <f>IF(AI129="",0,INDEX(データベース!J$2:J$2,MATCH(AI129,データベース!I$2:I$2,0)))</f>
        <v>0</v>
      </c>
      <c r="AL129">
        <f>IF(AK129="",0,INDEX(データベース!L$2:L$3,MATCH(AK129,データベース!K$2:K$3,0)))</f>
        <v>0</v>
      </c>
      <c r="AN129">
        <f>IF(AM129="",0,INDEX(データベース!N$2:N$5,MATCH(AM129,データベース!M$2:M$5,0)))</f>
        <v>0</v>
      </c>
      <c r="AO129" s="4"/>
      <c r="AP129">
        <f>IF(AO129="",0,INDEX(データベース!P$2:P$3,MATCH(AO129,データベース!O$2:O$3,0)))</f>
        <v>0</v>
      </c>
      <c r="AR129">
        <f>IF(AQ129="",0,INDEX(データベース!R$2:R$27,MATCH(AQ129,データベース!Q$2:Q$27,0)))</f>
        <v>0</v>
      </c>
      <c r="AT129">
        <f>IF(AS129="",0,INDEX(データベース!T$2:T$4,MATCH(AS129,データベース!S$2:S$4,0)))</f>
        <v>0</v>
      </c>
      <c r="AV129">
        <f>IF(AU129="",0,INDEX(データベース!V$2:V$37,MATCH(AU129,データベース!U$2:U$37,0)))</f>
        <v>0</v>
      </c>
      <c r="AX129">
        <v>0</v>
      </c>
      <c r="AZ129">
        <v>0</v>
      </c>
      <c r="BB129">
        <v>0</v>
      </c>
    </row>
  </sheetData>
  <dataConsolidate/>
  <phoneticPr fontId="18"/>
  <dataValidations count="3">
    <dataValidation type="list" allowBlank="1" showInputMessage="1" showErrorMessage="1" sqref="A130:A1048576" xr:uid="{00000000-0002-0000-0000-000000000000}">
      <formula1>$A$4:$A$5</formula1>
    </dataValidation>
    <dataValidation type="list" allowBlank="1" showInputMessage="1" showErrorMessage="1" sqref="R3:R129" xr:uid="{00000000-0002-0000-0000-000001000000}">
      <formula1>INDIRECT($Q3)</formula1>
    </dataValidation>
    <dataValidation type="list" allowBlank="1" showInputMessage="1" showErrorMessage="1" sqref="M2:M129 T2:T129 R2 V2:V129 I2:I129 K2:K129 AA2:AA129 AC2:AC129 AE2:AE129" xr:uid="{00000000-0002-0000-0000-000002000000}">
      <formula1>INDIRECT(H2)</formula1>
    </dataValidation>
  </dataValidations>
  <hyperlinks>
    <hyperlink ref="E3" r:id="rId1" xr:uid="{00000000-0004-0000-0000-000000000000}"/>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000-000003000000}">
          <x14:formula1>
            <xm:f>データベース!$C$2:$C$4</xm:f>
          </x14:formula1>
          <xm:sqref>F2:F129</xm:sqref>
        </x14:dataValidation>
        <x14:dataValidation type="list" allowBlank="1" showInputMessage="1" showErrorMessage="1" xr:uid="{00000000-0002-0000-0000-000004000000}">
          <x14:formula1>
            <xm:f>データベース!$A$2:$A$7</xm:f>
          </x14:formula1>
          <xm:sqref>A2:A129</xm:sqref>
        </x14:dataValidation>
        <x14:dataValidation type="list" allowBlank="1" showInputMessage="1" showErrorMessage="1" xr:uid="{00000000-0002-0000-0000-000005000000}">
          <x14:formula1>
            <xm:f>データベース!$O$2:$O$3</xm:f>
          </x14:formula1>
          <xm:sqref>AO2:AO129</xm:sqref>
        </x14:dataValidation>
        <x14:dataValidation type="list" allowBlank="1" showInputMessage="1" showErrorMessage="1" xr:uid="{00000000-0002-0000-0000-000006000000}">
          <x14:formula1>
            <xm:f>データベース!$I$2</xm:f>
          </x14:formula1>
          <xm:sqref>AI2:AI129</xm:sqref>
        </x14:dataValidation>
        <x14:dataValidation type="list" allowBlank="1" showInputMessage="1" showErrorMessage="1" xr:uid="{00000000-0002-0000-0000-000007000000}">
          <x14:formula1>
            <xm:f>データベース!$K$2:$K$3</xm:f>
          </x14:formula1>
          <xm:sqref>AK2:AK129</xm:sqref>
        </x14:dataValidation>
        <x14:dataValidation type="list" allowBlank="1" showInputMessage="1" showErrorMessage="1" xr:uid="{00000000-0002-0000-0000-000008000000}">
          <x14:formula1>
            <xm:f>データベース!$S$2:$S$4</xm:f>
          </x14:formula1>
          <xm:sqref>AS2:AS129</xm:sqref>
        </x14:dataValidation>
        <x14:dataValidation type="list" allowBlank="1" showInputMessage="1" showErrorMessage="1" xr:uid="{00000000-0002-0000-0000-000009000000}">
          <x14:formula1>
            <xm:f>データベース!$G$2:$G$4</xm:f>
          </x14:formula1>
          <xm:sqref>X2:X129 O2:O129 AG2:AG129</xm:sqref>
        </x14:dataValidation>
        <x14:dataValidation type="list" allowBlank="1" showInputMessage="1" showErrorMessage="1" xr:uid="{00000000-0002-0000-0000-00000A000000}">
          <x14:formula1>
            <xm:f>データベース!$E$2:$E$5</xm:f>
          </x14:formula1>
          <xm:sqref>Q2:Q129 H2:H129 Z2:Z129</xm:sqref>
        </x14:dataValidation>
        <x14:dataValidation type="list" allowBlank="1" showInputMessage="1" showErrorMessage="1" xr:uid="{00000000-0002-0000-0000-00000B000000}">
          <x14:formula1>
            <xm:f>データベース!$M$2:$M$5</xm:f>
          </x14:formula1>
          <xm:sqref>AM2:AM129</xm:sqref>
        </x14:dataValidation>
        <x14:dataValidation type="list" allowBlank="1" showInputMessage="1" showErrorMessage="1" xr:uid="{00000000-0002-0000-0000-00000C000000}">
          <x14:formula1>
            <xm:f>データベース!$Q$2:$Q$27</xm:f>
          </x14:formula1>
          <xm:sqref>AQ2:AQ129</xm:sqref>
        </x14:dataValidation>
        <x14:dataValidation type="list" allowBlank="1" showInputMessage="1" showErrorMessage="1" xr:uid="{00000000-0002-0000-0000-00000D000000}">
          <x14:formula1>
            <xm:f>データベース!$U$2:$U$37</xm:f>
          </x14:formula1>
          <xm:sqref>AU2:AU129</xm:sqref>
        </x14:dataValidation>
        <x14:dataValidation type="list" allowBlank="1" showInputMessage="1" showErrorMessage="1" xr:uid="{00000000-0002-0000-0000-00000E000000}">
          <x14:formula1>
            <xm:f>データベース!$B$2:$B$8</xm:f>
          </x14:formula1>
          <xm:sqref>C130:C1048576</xm:sqref>
        </x14:dataValidation>
        <x14:dataValidation type="list" errorStyle="information" allowBlank="1" showInputMessage="1" xr:uid="{00000000-0002-0000-0000-00000F000000}">
          <x14:formula1>
            <xm:f>データベース!$B$2:$B$8</xm:f>
          </x14:formula1>
          <xm:sqref>C2:C129</xm:sqref>
        </x14:dataValidation>
        <x14:dataValidation type="list" allowBlank="1" showInputMessage="1" xr:uid="{00000000-0002-0000-0000-000010000000}">
          <x14:formula1>
            <xm:f>データベース!$B$2:$B$8</xm:f>
          </x14:formula1>
          <xm:sqref>D2:D129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8"/>
  <sheetViews>
    <sheetView zoomScale="150" zoomScaleNormal="150" workbookViewId="0">
      <selection activeCell="A44" sqref="A44"/>
    </sheetView>
  </sheetViews>
  <sheetFormatPr defaultRowHeight="13.5"/>
  <cols>
    <col min="1" max="1" width="16.625" customWidth="1"/>
  </cols>
  <sheetData>
    <row r="1" spans="1:2">
      <c r="A1" t="s">
        <v>176</v>
      </c>
      <c r="B1" t="s">
        <v>177</v>
      </c>
    </row>
    <row r="2" spans="1:2">
      <c r="A2" t="s">
        <v>38</v>
      </c>
    </row>
    <row r="3" spans="1:2">
      <c r="B3" t="s">
        <v>47</v>
      </c>
    </row>
    <row r="4" spans="1:2">
      <c r="B4" t="s">
        <v>35</v>
      </c>
    </row>
    <row r="5" spans="1:2">
      <c r="B5" t="s">
        <v>36</v>
      </c>
    </row>
    <row r="6" spans="1:2">
      <c r="B6" s="12" t="s">
        <v>66</v>
      </c>
    </row>
    <row r="7" spans="1:2">
      <c r="B7" s="11" t="s">
        <v>37</v>
      </c>
    </row>
    <row r="8" spans="1:2">
      <c r="B8" s="11"/>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62"/>
  <sheetViews>
    <sheetView zoomScaleNormal="100" workbookViewId="0">
      <selection activeCell="B5" sqref="B5"/>
    </sheetView>
  </sheetViews>
  <sheetFormatPr defaultRowHeight="13.5"/>
  <cols>
    <col min="1" max="1" width="12.375" bestFit="1" customWidth="1"/>
  </cols>
  <sheetData>
    <row r="1" spans="1:22">
      <c r="A1" t="s">
        <v>5</v>
      </c>
      <c r="B1" t="s">
        <v>8</v>
      </c>
      <c r="C1" s="11" t="s">
        <v>41</v>
      </c>
      <c r="E1" t="s">
        <v>30</v>
      </c>
      <c r="G1" t="s">
        <v>133</v>
      </c>
      <c r="I1" t="s">
        <v>53</v>
      </c>
      <c r="K1" t="s">
        <v>60</v>
      </c>
      <c r="M1" t="s">
        <v>19</v>
      </c>
      <c r="O1" t="s">
        <v>49</v>
      </c>
      <c r="Q1" t="s">
        <v>13</v>
      </c>
      <c r="S1" t="s">
        <v>78</v>
      </c>
      <c r="U1" t="s">
        <v>16</v>
      </c>
    </row>
    <row r="2" spans="1:22">
      <c r="A2" t="s">
        <v>18</v>
      </c>
      <c r="B2" t="s">
        <v>9</v>
      </c>
      <c r="C2" t="s">
        <v>42</v>
      </c>
      <c r="D2">
        <v>-1</v>
      </c>
      <c r="E2" t="s">
        <v>32</v>
      </c>
      <c r="F2">
        <v>-1</v>
      </c>
      <c r="G2" t="s">
        <v>134</v>
      </c>
      <c r="H2">
        <v>-1</v>
      </c>
      <c r="I2" t="s">
        <v>54</v>
      </c>
      <c r="J2">
        <v>1</v>
      </c>
      <c r="K2" t="s">
        <v>63</v>
      </c>
      <c r="L2">
        <v>-1</v>
      </c>
      <c r="M2" s="4" t="s">
        <v>20</v>
      </c>
      <c r="N2">
        <v>-1</v>
      </c>
      <c r="O2" t="s">
        <v>51</v>
      </c>
      <c r="P2">
        <v>1</v>
      </c>
      <c r="Q2" t="s">
        <v>45</v>
      </c>
      <c r="R2">
        <v>-1</v>
      </c>
      <c r="S2" t="s">
        <v>79</v>
      </c>
      <c r="T2">
        <v>1</v>
      </c>
      <c r="U2" t="s">
        <v>67</v>
      </c>
      <c r="V2">
        <v>-1</v>
      </c>
    </row>
    <row r="3" spans="1:22">
      <c r="A3" t="s">
        <v>29</v>
      </c>
      <c r="B3" t="s">
        <v>34</v>
      </c>
      <c r="C3" t="s">
        <v>43</v>
      </c>
      <c r="D3">
        <v>1</v>
      </c>
      <c r="E3" t="s">
        <v>31</v>
      </c>
      <c r="F3">
        <v>1</v>
      </c>
      <c r="G3" t="s">
        <v>135</v>
      </c>
      <c r="H3">
        <v>1</v>
      </c>
      <c r="K3" t="s">
        <v>64</v>
      </c>
      <c r="L3">
        <v>1</v>
      </c>
      <c r="M3" t="s">
        <v>146</v>
      </c>
      <c r="N3">
        <v>1</v>
      </c>
      <c r="O3" t="s">
        <v>52</v>
      </c>
      <c r="P3">
        <v>2</v>
      </c>
      <c r="Q3" t="s">
        <v>150</v>
      </c>
      <c r="R3">
        <v>1</v>
      </c>
      <c r="S3" t="s">
        <v>83</v>
      </c>
      <c r="T3">
        <v>2</v>
      </c>
      <c r="U3" t="s">
        <v>101</v>
      </c>
      <c r="V3">
        <v>1</v>
      </c>
    </row>
    <row r="4" spans="1:22">
      <c r="A4" t="s">
        <v>28</v>
      </c>
      <c r="B4" t="s">
        <v>175</v>
      </c>
      <c r="C4" t="s">
        <v>44</v>
      </c>
      <c r="D4">
        <v>2</v>
      </c>
      <c r="E4" t="s">
        <v>117</v>
      </c>
      <c r="F4">
        <v>2</v>
      </c>
      <c r="G4" t="s">
        <v>136</v>
      </c>
      <c r="H4">
        <v>2</v>
      </c>
      <c r="M4" t="s">
        <v>147</v>
      </c>
      <c r="N4">
        <v>2</v>
      </c>
      <c r="Q4" t="s">
        <v>70</v>
      </c>
      <c r="R4">
        <v>2</v>
      </c>
      <c r="S4" t="s">
        <v>81</v>
      </c>
      <c r="T4">
        <v>3</v>
      </c>
      <c r="U4" t="s">
        <v>98</v>
      </c>
      <c r="V4">
        <v>2</v>
      </c>
    </row>
    <row r="5" spans="1:22">
      <c r="A5" t="s">
        <v>46</v>
      </c>
      <c r="B5" t="s">
        <v>10</v>
      </c>
      <c r="E5" t="s">
        <v>138</v>
      </c>
      <c r="F5">
        <v>3</v>
      </c>
      <c r="M5" t="s">
        <v>148</v>
      </c>
      <c r="N5">
        <v>3</v>
      </c>
      <c r="Q5" t="s">
        <v>69</v>
      </c>
      <c r="R5">
        <v>3</v>
      </c>
      <c r="U5" t="s">
        <v>103</v>
      </c>
      <c r="V5">
        <v>3</v>
      </c>
    </row>
    <row r="6" spans="1:22">
      <c r="A6" t="s">
        <v>6</v>
      </c>
      <c r="B6" t="s">
        <v>11</v>
      </c>
      <c r="Q6" t="s">
        <v>71</v>
      </c>
      <c r="R6">
        <v>4</v>
      </c>
      <c r="U6" t="s">
        <v>105</v>
      </c>
      <c r="V6">
        <v>4</v>
      </c>
    </row>
    <row r="7" spans="1:22">
      <c r="A7" t="s">
        <v>7</v>
      </c>
      <c r="B7" t="s">
        <v>12</v>
      </c>
      <c r="Q7" t="s">
        <v>72</v>
      </c>
      <c r="R7">
        <v>5</v>
      </c>
      <c r="U7" t="s">
        <v>106</v>
      </c>
      <c r="V7">
        <v>5</v>
      </c>
    </row>
    <row r="8" spans="1:22">
      <c r="B8" t="s">
        <v>27</v>
      </c>
      <c r="Q8" t="s">
        <v>73</v>
      </c>
      <c r="R8">
        <v>6</v>
      </c>
      <c r="U8" t="s">
        <v>108</v>
      </c>
      <c r="V8">
        <v>6</v>
      </c>
    </row>
    <row r="9" spans="1:22">
      <c r="Q9" t="s">
        <v>74</v>
      </c>
      <c r="R9">
        <v>7</v>
      </c>
      <c r="U9" t="s">
        <v>100</v>
      </c>
      <c r="V9">
        <v>7</v>
      </c>
    </row>
    <row r="10" spans="1:22">
      <c r="Q10" t="s">
        <v>90</v>
      </c>
      <c r="R10">
        <v>8</v>
      </c>
      <c r="U10" t="s">
        <v>97</v>
      </c>
      <c r="V10">
        <v>8</v>
      </c>
    </row>
    <row r="11" spans="1:22">
      <c r="Q11" t="s">
        <v>151</v>
      </c>
      <c r="R11">
        <v>9</v>
      </c>
      <c r="U11" t="s">
        <v>104</v>
      </c>
      <c r="V11">
        <v>9</v>
      </c>
    </row>
    <row r="12" spans="1:22">
      <c r="Q12" t="s">
        <v>152</v>
      </c>
      <c r="R12">
        <v>10</v>
      </c>
      <c r="U12" t="s">
        <v>68</v>
      </c>
      <c r="V12">
        <v>10</v>
      </c>
    </row>
    <row r="13" spans="1:22">
      <c r="Q13" t="s">
        <v>153</v>
      </c>
      <c r="R13">
        <v>11</v>
      </c>
      <c r="U13" t="s">
        <v>109</v>
      </c>
      <c r="V13">
        <v>11</v>
      </c>
    </row>
    <row r="14" spans="1:22">
      <c r="Q14" t="s">
        <v>154</v>
      </c>
      <c r="R14">
        <v>12</v>
      </c>
      <c r="U14" t="s">
        <v>107</v>
      </c>
      <c r="V14">
        <v>12</v>
      </c>
    </row>
    <row r="15" spans="1:22">
      <c r="Q15" t="s">
        <v>155</v>
      </c>
      <c r="R15">
        <v>13</v>
      </c>
      <c r="U15" t="s">
        <v>102</v>
      </c>
      <c r="V15">
        <v>13</v>
      </c>
    </row>
    <row r="16" spans="1:22">
      <c r="Q16" t="s">
        <v>156</v>
      </c>
      <c r="R16">
        <v>14</v>
      </c>
      <c r="U16" t="s">
        <v>110</v>
      </c>
      <c r="V16">
        <v>14</v>
      </c>
    </row>
    <row r="17" spans="17:22">
      <c r="Q17" t="s">
        <v>157</v>
      </c>
      <c r="R17">
        <v>15</v>
      </c>
      <c r="U17" t="s">
        <v>111</v>
      </c>
      <c r="V17">
        <v>15</v>
      </c>
    </row>
    <row r="18" spans="17:22">
      <c r="Q18" t="s">
        <v>158</v>
      </c>
      <c r="R18">
        <v>16</v>
      </c>
      <c r="U18" t="s">
        <v>99</v>
      </c>
      <c r="V18">
        <v>16</v>
      </c>
    </row>
    <row r="19" spans="17:22">
      <c r="Q19" t="s">
        <v>75</v>
      </c>
      <c r="R19">
        <v>17</v>
      </c>
      <c r="U19" t="s">
        <v>96</v>
      </c>
      <c r="V19">
        <v>17</v>
      </c>
    </row>
    <row r="20" spans="17:22">
      <c r="Q20" t="s">
        <v>76</v>
      </c>
      <c r="R20">
        <v>18</v>
      </c>
      <c r="U20" t="s">
        <v>112</v>
      </c>
      <c r="V20">
        <v>18</v>
      </c>
    </row>
    <row r="21" spans="17:22">
      <c r="Q21" t="s">
        <v>77</v>
      </c>
      <c r="R21">
        <v>19</v>
      </c>
      <c r="U21" t="s">
        <v>113</v>
      </c>
      <c r="V21">
        <v>19</v>
      </c>
    </row>
    <row r="22" spans="17:22">
      <c r="Q22" t="s">
        <v>92</v>
      </c>
      <c r="R22">
        <v>20</v>
      </c>
      <c r="U22" t="s">
        <v>114</v>
      </c>
      <c r="V22">
        <v>20</v>
      </c>
    </row>
    <row r="23" spans="17:22">
      <c r="Q23" t="s">
        <v>93</v>
      </c>
      <c r="R23">
        <v>21</v>
      </c>
      <c r="U23" t="s">
        <v>115</v>
      </c>
      <c r="V23">
        <v>21</v>
      </c>
    </row>
    <row r="24" spans="17:22">
      <c r="Q24" t="s">
        <v>94</v>
      </c>
      <c r="R24">
        <v>22</v>
      </c>
      <c r="U24" t="s">
        <v>116</v>
      </c>
      <c r="V24">
        <v>22</v>
      </c>
    </row>
    <row r="25" spans="17:22">
      <c r="Q25" t="s">
        <v>159</v>
      </c>
      <c r="R25">
        <v>23</v>
      </c>
      <c r="U25" t="s">
        <v>160</v>
      </c>
      <c r="V25">
        <v>23</v>
      </c>
    </row>
    <row r="26" spans="17:22">
      <c r="Q26" t="s">
        <v>91</v>
      </c>
      <c r="R26">
        <v>24</v>
      </c>
      <c r="U26" t="s">
        <v>161</v>
      </c>
      <c r="V26">
        <v>24</v>
      </c>
    </row>
    <row r="27" spans="17:22">
      <c r="Q27" t="s">
        <v>95</v>
      </c>
      <c r="R27">
        <v>25</v>
      </c>
      <c r="U27" t="s">
        <v>162</v>
      </c>
      <c r="V27">
        <v>25</v>
      </c>
    </row>
    <row r="28" spans="17:22">
      <c r="U28" t="s">
        <v>171</v>
      </c>
      <c r="V28">
        <v>26</v>
      </c>
    </row>
    <row r="29" spans="17:22">
      <c r="U29" t="s">
        <v>163</v>
      </c>
      <c r="V29">
        <v>27</v>
      </c>
    </row>
    <row r="30" spans="17:22">
      <c r="U30" t="s">
        <v>164</v>
      </c>
      <c r="V30">
        <v>28</v>
      </c>
    </row>
    <row r="31" spans="17:22">
      <c r="U31" t="s">
        <v>165</v>
      </c>
      <c r="V31">
        <v>29</v>
      </c>
    </row>
    <row r="32" spans="17:22">
      <c r="U32" t="s">
        <v>166</v>
      </c>
      <c r="V32">
        <v>30</v>
      </c>
    </row>
    <row r="33" spans="1:22">
      <c r="U33" t="s">
        <v>167</v>
      </c>
      <c r="V33">
        <v>31</v>
      </c>
    </row>
    <row r="34" spans="1:22">
      <c r="U34" t="s">
        <v>168</v>
      </c>
      <c r="V34">
        <v>32</v>
      </c>
    </row>
    <row r="35" spans="1:22">
      <c r="U35" t="s">
        <v>169</v>
      </c>
      <c r="V35">
        <v>33</v>
      </c>
    </row>
    <row r="36" spans="1:22">
      <c r="U36" t="s">
        <v>170</v>
      </c>
      <c r="V36">
        <v>34</v>
      </c>
    </row>
    <row r="37" spans="1:22" s="15" customFormat="1">
      <c r="U37" s="15" t="s">
        <v>172</v>
      </c>
      <c r="V37" s="15">
        <v>35</v>
      </c>
    </row>
    <row r="38" spans="1:22">
      <c r="A38" t="s">
        <v>84</v>
      </c>
    </row>
    <row r="39" spans="1:22">
      <c r="A39" t="s">
        <v>85</v>
      </c>
    </row>
    <row r="40" spans="1:22">
      <c r="A40" t="s">
        <v>87</v>
      </c>
      <c r="B40" t="s">
        <v>117</v>
      </c>
      <c r="C40" t="s">
        <v>138</v>
      </c>
    </row>
    <row r="41" spans="1:22">
      <c r="A41" t="s">
        <v>86</v>
      </c>
      <c r="B41" t="s">
        <v>86</v>
      </c>
      <c r="C41" t="s">
        <v>139</v>
      </c>
      <c r="D41">
        <v>0</v>
      </c>
    </row>
    <row r="42" spans="1:22">
      <c r="A42" t="s">
        <v>88</v>
      </c>
      <c r="B42" t="s">
        <v>118</v>
      </c>
      <c r="D42">
        <v>1</v>
      </c>
    </row>
    <row r="43" spans="1:22">
      <c r="D43">
        <v>2</v>
      </c>
    </row>
    <row r="44" spans="1:22">
      <c r="D44">
        <v>3</v>
      </c>
    </row>
    <row r="46" spans="1:22">
      <c r="A46" t="s">
        <v>119</v>
      </c>
    </row>
    <row r="47" spans="1:22">
      <c r="A47" t="s">
        <v>120</v>
      </c>
      <c r="B47" t="s">
        <v>121</v>
      </c>
      <c r="C47" t="s">
        <v>138</v>
      </c>
    </row>
    <row r="48" spans="1:22">
      <c r="D48">
        <v>0</v>
      </c>
    </row>
    <row r="49" spans="1:4">
      <c r="D49">
        <v>1</v>
      </c>
    </row>
    <row r="50" spans="1:4">
      <c r="A50" t="s">
        <v>123</v>
      </c>
      <c r="D50">
        <v>2</v>
      </c>
    </row>
    <row r="51" spans="1:4">
      <c r="D51">
        <v>3</v>
      </c>
    </row>
    <row r="52" spans="1:4">
      <c r="B52" t="s">
        <v>122</v>
      </c>
      <c r="C52" t="s">
        <v>140</v>
      </c>
      <c r="D52">
        <v>4</v>
      </c>
    </row>
    <row r="54" spans="1:4">
      <c r="A54" t="s">
        <v>124</v>
      </c>
    </row>
    <row r="55" spans="1:4">
      <c r="A55" t="s">
        <v>31</v>
      </c>
      <c r="B55" t="s">
        <v>121</v>
      </c>
      <c r="C55" t="s">
        <v>138</v>
      </c>
    </row>
    <row r="56" spans="1:4">
      <c r="A56" t="s">
        <v>132</v>
      </c>
      <c r="B56" t="s">
        <v>131</v>
      </c>
      <c r="C56" t="s">
        <v>131</v>
      </c>
      <c r="D56">
        <v>0</v>
      </c>
    </row>
    <row r="57" spans="1:4">
      <c r="A57" t="s">
        <v>129</v>
      </c>
      <c r="B57" t="s">
        <v>86</v>
      </c>
      <c r="C57" t="s">
        <v>139</v>
      </c>
      <c r="D57">
        <v>1</v>
      </c>
    </row>
    <row r="58" spans="1:4">
      <c r="B58" t="s">
        <v>130</v>
      </c>
      <c r="C58" t="s">
        <v>141</v>
      </c>
      <c r="D58">
        <v>2</v>
      </c>
    </row>
    <row r="59" spans="1:4">
      <c r="C59" t="s">
        <v>142</v>
      </c>
      <c r="D59">
        <v>3</v>
      </c>
    </row>
    <row r="60" spans="1:4">
      <c r="C60" t="s">
        <v>143</v>
      </c>
      <c r="D60">
        <v>4</v>
      </c>
    </row>
    <row r="61" spans="1:4">
      <c r="C61" t="s">
        <v>144</v>
      </c>
      <c r="D61">
        <v>5</v>
      </c>
    </row>
    <row r="62" spans="1:4">
      <c r="C62" t="s">
        <v>145</v>
      </c>
      <c r="D62">
        <v>6</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10</vt:i4>
      </vt:variant>
    </vt:vector>
  </HeadingPairs>
  <TitlesOfParts>
    <vt:vector size="13" baseType="lpstr">
      <vt:lpstr>commu</vt:lpstr>
      <vt:lpstr>マニュアル、概要</vt:lpstr>
      <vt:lpstr>データベース</vt:lpstr>
      <vt:lpstr>ポキャラポーズ差分リスト</vt:lpstr>
      <vt:lpstr>めぐる</vt:lpstr>
      <vt:lpstr>感情・めぐる</vt:lpstr>
      <vt:lpstr>感情・樹里</vt:lpstr>
      <vt:lpstr>感情・恋鐘</vt:lpstr>
      <vt:lpstr>樹里</vt:lpstr>
      <vt:lpstr>服装・めぐる</vt:lpstr>
      <vt:lpstr>服装・樹里</vt:lpstr>
      <vt:lpstr>服装・恋鐘</vt:lpstr>
      <vt:lpstr>恋鐘</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2022-03-02T03:54:40Z</dcterms:modified>
</cp:coreProperties>
</file>